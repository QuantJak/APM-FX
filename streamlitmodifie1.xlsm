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 PC\Downloads\Atlas_Projet\pythonProject24\"/>
    </mc:Choice>
  </mc:AlternateContent>
  <xr:revisionPtr revIDLastSave="0" documentId="13_ncr:1_{67CA3EE0-8BFF-4545-9D59-1B6DEFDBB95D}" xr6:coauthVersionLast="47" xr6:coauthVersionMax="47" xr10:uidLastSave="{00000000-0000-0000-0000-000000000000}"/>
  <bookViews>
    <workbookView xWindow="-108" yWindow="-108" windowWidth="19416" windowHeight="10416" tabRatio="956" firstSheet="6" activeTab="6" xr2:uid="{00000000-000D-0000-FFFF-FFFF00000000}"/>
  </bookViews>
  <sheets>
    <sheet name="SpotR" sheetId="42" r:id="rId1"/>
    <sheet name="EURUSD" sheetId="48" r:id="rId2"/>
    <sheet name="EURJPY" sheetId="54" r:id="rId3"/>
    <sheet name="EURCAD" sheetId="56" r:id="rId4"/>
    <sheet name="EURGBP" sheetId="53" r:id="rId5"/>
    <sheet name="EURCHF" sheetId="55" r:id="rId6"/>
    <sheet name="USDGBP" sheetId="52" r:id="rId7"/>
    <sheet name="USDCHF" sheetId="51" r:id="rId8"/>
    <sheet name="USDCAD" sheetId="50" r:id="rId9"/>
    <sheet name="USDJPY" sheetId="49" r:id="rId10"/>
    <sheet name="USDR" sheetId="47" r:id="rId11"/>
    <sheet name="EURIBOR EURR" sheetId="43" r:id="rId12"/>
    <sheet name="CADR" sheetId="57" r:id="rId13"/>
    <sheet name="GBPR" sheetId="45" r:id="rId14"/>
    <sheet name="CHFRF" sheetId="58" r:id="rId15"/>
    <sheet name="JPYR" sheetId="59" r:id="rId16"/>
    <sheet name="Spot" sheetId="39" r:id="rId17"/>
    <sheet name="EURIBOR EUR" sheetId="9" r:id="rId18"/>
    <sheet name="GBP" sheetId="22" r:id="rId19"/>
    <sheet name="NOK" sheetId="30" r:id="rId20"/>
    <sheet name="CADRATE" sheetId="10" r:id="rId21"/>
    <sheet name="CHF" sheetId="24" r:id="rId22"/>
    <sheet name="USDRATE" sheetId="11" r:id="rId23"/>
    <sheet name="NZDRATE" sheetId="14" r:id="rId24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4" l="1"/>
  <c r="A6" i="14"/>
  <c r="A5" i="14"/>
  <c r="A4" i="14"/>
  <c r="A3" i="14"/>
  <c r="A2" i="14"/>
  <c r="A5" i="11"/>
  <c r="A2" i="11"/>
  <c r="A3" i="11"/>
  <c r="A4" i="11"/>
  <c r="A4" i="24"/>
  <c r="A2" i="24"/>
  <c r="A3" i="24"/>
  <c r="A7" i="24"/>
  <c r="A8" i="24"/>
  <c r="A9" i="24"/>
  <c r="A5" i="24"/>
  <c r="A6" i="24"/>
  <c r="A2" i="10"/>
  <c r="A5" i="10"/>
  <c r="A4" i="10"/>
  <c r="A3" i="10"/>
  <c r="A3" i="30"/>
  <c r="A2" i="30"/>
  <c r="A4" i="30"/>
  <c r="A6" i="30"/>
  <c r="A5" i="30"/>
  <c r="A5" i="22"/>
  <c r="A3" i="22"/>
  <c r="A2" i="22"/>
  <c r="A4" i="22"/>
  <c r="A4" i="9"/>
  <c r="A6" i="9"/>
  <c r="A7" i="9"/>
  <c r="A5" i="9"/>
  <c r="A3" i="9"/>
  <c r="A2" i="9"/>
  <c r="A19" i="39"/>
  <c r="A11" i="39"/>
  <c r="A3" i="39"/>
  <c r="A6" i="39"/>
  <c r="A5" i="39"/>
  <c r="A7" i="39"/>
  <c r="A8" i="39"/>
  <c r="A15" i="39"/>
  <c r="A9" i="39"/>
  <c r="A2" i="39"/>
  <c r="A16" i="39"/>
  <c r="A10" i="39"/>
  <c r="A4" i="39"/>
  <c r="A18" i="39"/>
  <c r="A17" i="39"/>
  <c r="A13" i="39"/>
  <c r="A12" i="39"/>
  <c r="A14" i="39"/>
  <c r="B3" i="59"/>
  <c r="B3" i="58"/>
  <c r="B2" i="59"/>
  <c r="B8" i="59"/>
  <c r="B7" i="59"/>
  <c r="B6" i="59"/>
  <c r="B5" i="59"/>
  <c r="B4" i="59"/>
  <c r="B2" i="47"/>
  <c r="B5" i="57"/>
  <c r="F5" i="56"/>
  <c r="C10" i="51"/>
  <c r="C5" i="56"/>
  <c r="E7" i="56"/>
  <c r="F4" i="53"/>
  <c r="E7" i="54"/>
  <c r="E8" i="48"/>
  <c r="D4" i="50"/>
  <c r="E11" i="56"/>
  <c r="E10" i="54"/>
  <c r="C5" i="52"/>
  <c r="D10" i="56"/>
  <c r="D8" i="52"/>
  <c r="D9" i="49"/>
  <c r="B5" i="53"/>
  <c r="C6" i="54"/>
  <c r="F2" i="55"/>
  <c r="B4" i="55"/>
  <c r="B7" i="56"/>
  <c r="B10" i="42"/>
  <c r="C2" i="48"/>
  <c r="F2" i="49"/>
  <c r="F12" i="54"/>
  <c r="E6" i="52"/>
  <c r="B12" i="53"/>
  <c r="B2" i="58"/>
  <c r="E7" i="53"/>
  <c r="E9" i="48"/>
  <c r="D10" i="51"/>
  <c r="F7" i="53"/>
  <c r="F11" i="49"/>
  <c r="F2" i="56"/>
  <c r="F3" i="49"/>
  <c r="F7" i="48"/>
  <c r="D5" i="54"/>
  <c r="C5" i="48"/>
  <c r="B8" i="54"/>
  <c r="C7" i="50"/>
  <c r="E6" i="49"/>
  <c r="F4" i="54"/>
  <c r="B6" i="56"/>
  <c r="E5" i="50"/>
  <c r="D10" i="48"/>
  <c r="E11" i="48"/>
  <c r="C6" i="48"/>
  <c r="C2" i="50"/>
  <c r="B5" i="42"/>
  <c r="F11" i="52"/>
  <c r="D6" i="53"/>
  <c r="F9" i="48"/>
  <c r="D5" i="51"/>
  <c r="C8" i="51"/>
  <c r="B3" i="49"/>
  <c r="E9" i="52"/>
  <c r="B6" i="52"/>
  <c r="D4" i="49"/>
  <c r="B4" i="45"/>
  <c r="F4" i="48"/>
  <c r="C2" i="53"/>
  <c r="F9" i="55"/>
  <c r="D5" i="56"/>
  <c r="B9" i="51"/>
  <c r="D8" i="55"/>
  <c r="C11" i="50"/>
  <c r="D7" i="52"/>
  <c r="D10" i="52"/>
  <c r="C3" i="53"/>
  <c r="D11" i="54"/>
  <c r="E6" i="48"/>
  <c r="C9" i="54"/>
  <c r="E8" i="53"/>
  <c r="E5" i="56"/>
  <c r="B10" i="49"/>
  <c r="B5" i="51"/>
  <c r="B3" i="55"/>
  <c r="D12" i="48"/>
  <c r="B5" i="55"/>
  <c r="B3" i="53"/>
  <c r="D5" i="50"/>
  <c r="B14" i="42"/>
  <c r="B10" i="53"/>
  <c r="C8" i="54"/>
  <c r="D2" i="49"/>
  <c r="E6" i="51"/>
  <c r="E10" i="56"/>
  <c r="D2" i="55"/>
  <c r="E3" i="53"/>
  <c r="B13" i="42"/>
  <c r="B6" i="43"/>
  <c r="D2" i="54"/>
  <c r="B6" i="54"/>
  <c r="C4" i="53"/>
  <c r="D10" i="53"/>
  <c r="C3" i="49"/>
  <c r="F10" i="54"/>
  <c r="E4" i="55"/>
  <c r="C7" i="56"/>
  <c r="E9" i="49"/>
  <c r="B8" i="55"/>
  <c r="F7" i="54"/>
  <c r="E4" i="52"/>
  <c r="B4" i="53"/>
  <c r="C11" i="52"/>
  <c r="B10" i="55"/>
  <c r="E2" i="56"/>
  <c r="D4" i="48"/>
  <c r="F8" i="51"/>
  <c r="E6" i="56"/>
  <c r="B2" i="54"/>
  <c r="B2" i="52"/>
  <c r="E10" i="50"/>
  <c r="C8" i="56"/>
  <c r="C10" i="53"/>
  <c r="D3" i="50"/>
  <c r="B6" i="57"/>
  <c r="C3" i="48"/>
  <c r="B6" i="51"/>
  <c r="D2" i="52"/>
  <c r="D6" i="49"/>
  <c r="B10" i="56"/>
  <c r="C2" i="54"/>
  <c r="B8" i="48"/>
  <c r="B11" i="48"/>
  <c r="F2" i="53"/>
  <c r="C8" i="55"/>
  <c r="B5" i="43"/>
  <c r="B6" i="47"/>
  <c r="B6" i="58"/>
  <c r="B2" i="53"/>
  <c r="B11" i="49"/>
  <c r="B7" i="55"/>
  <c r="D6" i="48"/>
  <c r="F8" i="52"/>
  <c r="C10" i="49"/>
  <c r="B5" i="50"/>
  <c r="C2" i="49"/>
  <c r="C8" i="48"/>
  <c r="F5" i="50"/>
  <c r="F8" i="49"/>
  <c r="C5" i="55"/>
  <c r="B8" i="49"/>
  <c r="E3" i="52"/>
  <c r="E8" i="54"/>
  <c r="C7" i="49"/>
  <c r="D5" i="49"/>
  <c r="F3" i="56"/>
  <c r="B5" i="47"/>
  <c r="B4" i="57"/>
  <c r="C8" i="52"/>
  <c r="C6" i="49"/>
  <c r="C10" i="48"/>
  <c r="B4" i="42"/>
  <c r="B5" i="56"/>
  <c r="F8" i="56"/>
  <c r="D11" i="50"/>
  <c r="D4" i="54"/>
  <c r="C5" i="50"/>
  <c r="D9" i="56"/>
  <c r="D9" i="52"/>
  <c r="C12" i="48"/>
  <c r="D8" i="50"/>
  <c r="B11" i="56"/>
  <c r="D3" i="49"/>
  <c r="D7" i="49"/>
  <c r="B8" i="50"/>
  <c r="E2" i="55"/>
  <c r="D11" i="53"/>
  <c r="F3" i="52"/>
  <c r="E5" i="51"/>
  <c r="E9" i="54"/>
  <c r="B7" i="58"/>
  <c r="F10" i="51"/>
  <c r="D8" i="49"/>
  <c r="C8" i="49"/>
  <c r="C6" i="51"/>
  <c r="E2" i="49"/>
  <c r="E7" i="52"/>
  <c r="B5" i="54"/>
  <c r="D7" i="48"/>
  <c r="F9" i="54"/>
  <c r="D8" i="54"/>
  <c r="F2" i="54"/>
  <c r="D2" i="53"/>
  <c r="B4" i="47"/>
  <c r="F6" i="48"/>
  <c r="F10" i="55"/>
  <c r="C7" i="48"/>
  <c r="C3" i="55"/>
  <c r="D12" i="53"/>
  <c r="E10" i="48"/>
  <c r="C2" i="56"/>
  <c r="F4" i="51"/>
  <c r="F12" i="49"/>
  <c r="B8" i="42"/>
  <c r="B8" i="58"/>
  <c r="D7" i="55"/>
  <c r="D6" i="54"/>
  <c r="C2" i="52"/>
  <c r="F4" i="56"/>
  <c r="D3" i="52"/>
  <c r="D9" i="48"/>
  <c r="B4" i="56"/>
  <c r="B3" i="48"/>
  <c r="C4" i="54"/>
  <c r="F3" i="48"/>
  <c r="C10" i="50"/>
  <c r="F10" i="53"/>
  <c r="B4" i="58"/>
  <c r="C7" i="53"/>
  <c r="C9" i="50"/>
  <c r="C8" i="53"/>
  <c r="B5" i="52"/>
  <c r="D3" i="51"/>
  <c r="F4" i="55"/>
  <c r="B16" i="42"/>
  <c r="F6" i="55"/>
  <c r="B4" i="54"/>
  <c r="B12" i="49"/>
  <c r="D12" i="54"/>
  <c r="C9" i="56"/>
  <c r="D3" i="54"/>
  <c r="F7" i="56"/>
  <c r="D4" i="52"/>
  <c r="F7" i="49"/>
  <c r="E3" i="56"/>
  <c r="E9" i="55"/>
  <c r="B2" i="56"/>
  <c r="B6" i="55"/>
  <c r="E11" i="53"/>
  <c r="B3" i="54"/>
  <c r="B11" i="42"/>
  <c r="F5" i="54"/>
  <c r="E12" i="54"/>
  <c r="F2" i="48"/>
  <c r="E4" i="53"/>
  <c r="B4" i="49"/>
  <c r="G20" i="10"/>
  <c r="F8" i="53"/>
  <c r="F12" i="52"/>
  <c r="D3" i="48"/>
  <c r="F11" i="50"/>
  <c r="F12" i="48"/>
  <c r="B12" i="48"/>
  <c r="C9" i="51"/>
  <c r="E5" i="55"/>
  <c r="B4" i="50"/>
  <c r="F2" i="51"/>
  <c r="F10" i="49"/>
  <c r="C3" i="52"/>
  <c r="B6" i="50"/>
  <c r="D5" i="52"/>
  <c r="F11" i="48"/>
  <c r="E10" i="52"/>
  <c r="D2" i="48"/>
  <c r="B5" i="49"/>
  <c r="B3" i="45"/>
  <c r="C6" i="56"/>
  <c r="B10" i="54"/>
  <c r="F7" i="50"/>
  <c r="F4" i="49"/>
  <c r="B6" i="48"/>
  <c r="E5" i="48"/>
  <c r="F5" i="51"/>
  <c r="F8" i="55"/>
  <c r="E4" i="50"/>
  <c r="D10" i="49"/>
  <c r="C8" i="50"/>
  <c r="B9" i="55"/>
  <c r="B11" i="52"/>
  <c r="D7" i="56"/>
  <c r="C4" i="56"/>
  <c r="E4" i="54"/>
  <c r="D9" i="53"/>
  <c r="E7" i="49"/>
  <c r="C3" i="54"/>
  <c r="C11" i="51"/>
  <c r="F5" i="52"/>
  <c r="E6" i="55"/>
  <c r="D10" i="54"/>
  <c r="B3" i="57"/>
  <c r="F6" i="53"/>
  <c r="F9" i="50"/>
  <c r="F8" i="48"/>
  <c r="B18" i="42"/>
  <c r="F11" i="51"/>
  <c r="C5" i="53"/>
  <c r="B9" i="53"/>
  <c r="E4" i="48"/>
  <c r="C10" i="52"/>
  <c r="B7" i="51"/>
  <c r="F10" i="50"/>
  <c r="B10" i="52"/>
  <c r="F6" i="56"/>
  <c r="C12" i="53"/>
  <c r="C3" i="56"/>
  <c r="D4" i="55"/>
  <c r="B7" i="53"/>
  <c r="D8" i="56"/>
  <c r="E11" i="49"/>
  <c r="C9" i="52"/>
  <c r="E5" i="53"/>
  <c r="B7" i="52"/>
  <c r="B6" i="42"/>
  <c r="B2" i="57"/>
  <c r="C3" i="51"/>
  <c r="F11" i="54"/>
  <c r="F4" i="52"/>
  <c r="F6" i="52"/>
  <c r="C4" i="49"/>
  <c r="E4" i="49"/>
  <c r="D11" i="48"/>
  <c r="B4" i="48"/>
  <c r="B17" i="42"/>
  <c r="C10" i="56"/>
  <c r="F6" i="51"/>
  <c r="F5" i="53"/>
  <c r="B2" i="42"/>
  <c r="D11" i="52"/>
  <c r="B10" i="50"/>
  <c r="F9" i="56"/>
  <c r="F10" i="56"/>
  <c r="C2" i="55"/>
  <c r="B3" i="47"/>
  <c r="F5" i="55"/>
  <c r="D4" i="53"/>
  <c r="E9" i="56"/>
  <c r="F6" i="54"/>
  <c r="B11" i="51"/>
  <c r="B7" i="49"/>
  <c r="F3" i="55"/>
  <c r="B3" i="42"/>
  <c r="B2" i="48"/>
  <c r="E10" i="53"/>
  <c r="B6" i="49"/>
  <c r="B2" i="55"/>
  <c r="E10" i="51"/>
  <c r="E4" i="51"/>
  <c r="D10" i="50"/>
  <c r="E8" i="52"/>
  <c r="E3" i="51"/>
  <c r="D9" i="54"/>
  <c r="F3" i="51"/>
  <c r="B4" i="43"/>
  <c r="F7" i="55"/>
  <c r="C2" i="51"/>
  <c r="E6" i="50"/>
  <c r="B9" i="50"/>
  <c r="E2" i="54"/>
  <c r="C11" i="56"/>
  <c r="B6" i="53"/>
  <c r="F9" i="51"/>
  <c r="B2" i="49"/>
  <c r="E5" i="52"/>
  <c r="F9" i="52"/>
  <c r="C6" i="52"/>
  <c r="D10" i="55"/>
  <c r="B10" i="51"/>
  <c r="E2" i="52"/>
  <c r="B12" i="42"/>
  <c r="D7" i="51"/>
  <c r="D3" i="55"/>
  <c r="E12" i="49"/>
  <c r="E3" i="55"/>
  <c r="F3" i="54"/>
  <c r="C12" i="49"/>
  <c r="D7" i="50"/>
  <c r="D9" i="50"/>
  <c r="E7" i="50"/>
  <c r="F11" i="56"/>
  <c r="F4" i="50"/>
  <c r="C12" i="54"/>
  <c r="B3" i="51"/>
  <c r="C7" i="54"/>
  <c r="B9" i="49"/>
  <c r="D7" i="53"/>
  <c r="C6" i="53"/>
  <c r="E8" i="50"/>
  <c r="F12" i="53"/>
  <c r="B7" i="42"/>
  <c r="D8" i="53"/>
  <c r="F6" i="49"/>
  <c r="F7" i="52"/>
  <c r="E6" i="54"/>
  <c r="C5" i="54"/>
  <c r="F9" i="53"/>
  <c r="B7" i="48"/>
  <c r="C4" i="52"/>
  <c r="F3" i="50"/>
  <c r="B11" i="50"/>
  <c r="D11" i="56"/>
  <c r="B8" i="52"/>
  <c r="C3" i="50"/>
  <c r="D6" i="56"/>
  <c r="E8" i="56"/>
  <c r="D12" i="52"/>
  <c r="E3" i="54"/>
  <c r="C4" i="48"/>
  <c r="B5" i="48"/>
  <c r="B15" i="42"/>
  <c r="B9" i="52"/>
  <c r="D5" i="53"/>
  <c r="D7" i="54"/>
  <c r="B3" i="56"/>
  <c r="E10" i="55"/>
  <c r="E9" i="51"/>
  <c r="D5" i="55"/>
  <c r="B8" i="51"/>
  <c r="D9" i="55"/>
  <c r="C7" i="51"/>
  <c r="C9" i="55"/>
  <c r="C6" i="55"/>
  <c r="E11" i="54"/>
  <c r="B7" i="50"/>
  <c r="E6" i="53"/>
  <c r="C7" i="52"/>
  <c r="E8" i="55"/>
  <c r="F2" i="50"/>
  <c r="E7" i="55"/>
  <c r="B12" i="54"/>
  <c r="B9" i="54"/>
  <c r="D11" i="49"/>
  <c r="D4" i="51"/>
  <c r="F10" i="52"/>
  <c r="B2" i="50"/>
  <c r="E2" i="51"/>
  <c r="E7" i="48"/>
  <c r="B5" i="58"/>
  <c r="E12" i="52"/>
  <c r="D3" i="53"/>
  <c r="C5" i="49"/>
  <c r="E10" i="49"/>
  <c r="C9" i="48"/>
  <c r="C4" i="50"/>
  <c r="D11" i="51"/>
  <c r="B8" i="56"/>
  <c r="B7" i="54"/>
  <c r="D6" i="50"/>
  <c r="D5" i="48"/>
  <c r="B9" i="42"/>
  <c r="B11" i="53"/>
  <c r="D3" i="56"/>
  <c r="D6" i="52"/>
  <c r="F5" i="48"/>
  <c r="D4" i="56"/>
  <c r="E3" i="48"/>
  <c r="C11" i="54"/>
  <c r="E11" i="51"/>
  <c r="B11" i="54"/>
  <c r="F6" i="50"/>
  <c r="F3" i="53"/>
  <c r="E8" i="49"/>
  <c r="E11" i="52"/>
  <c r="F10" i="48"/>
  <c r="C9" i="49"/>
  <c r="B8" i="53"/>
  <c r="C11" i="49"/>
  <c r="C9" i="53"/>
  <c r="E12" i="53"/>
  <c r="F5" i="49"/>
  <c r="C10" i="54"/>
  <c r="E2" i="50"/>
  <c r="B2" i="51"/>
  <c r="C11" i="48"/>
  <c r="D2" i="56"/>
  <c r="B9" i="48"/>
  <c r="C10" i="55"/>
  <c r="E2" i="53"/>
  <c r="B12" i="52"/>
  <c r="E3" i="49"/>
  <c r="B10" i="48"/>
  <c r="E9" i="50"/>
  <c r="C4" i="51"/>
  <c r="E11" i="50"/>
  <c r="B3" i="52"/>
  <c r="F9" i="49"/>
  <c r="C12" i="52"/>
  <c r="C7" i="55"/>
  <c r="B2" i="43"/>
  <c r="B2" i="45"/>
  <c r="E3" i="50"/>
  <c r="F11" i="53"/>
  <c r="E7" i="51"/>
  <c r="B4" i="52"/>
  <c r="C5" i="51"/>
  <c r="C11" i="53"/>
  <c r="D8" i="48"/>
  <c r="B9" i="56"/>
  <c r="E5" i="54"/>
  <c r="E12" i="48"/>
  <c r="F8" i="50"/>
  <c r="B3" i="43"/>
  <c r="F2" i="52"/>
  <c r="F7" i="51"/>
  <c r="C4" i="55"/>
  <c r="D12" i="49"/>
  <c r="D8" i="51"/>
  <c r="D6" i="51"/>
  <c r="E4" i="56"/>
  <c r="E2" i="48"/>
  <c r="C6" i="50"/>
  <c r="D6" i="55"/>
  <c r="D2" i="50"/>
  <c r="E8" i="51"/>
  <c r="D2" i="51"/>
  <c r="B3" i="50"/>
  <c r="E5" i="49"/>
  <c r="F8" i="54"/>
  <c r="B4" i="51"/>
  <c r="D9" i="51"/>
  <c r="E9" i="53"/>
</calcChain>
</file>

<file path=xl/sharedStrings.xml><?xml version="1.0" encoding="utf-8"?>
<sst xmlns="http://schemas.openxmlformats.org/spreadsheetml/2006/main" count="233" uniqueCount="57">
  <si>
    <t>1W</t>
  </si>
  <si>
    <t>1M</t>
  </si>
  <si>
    <t>2M</t>
  </si>
  <si>
    <t>3M</t>
  </si>
  <si>
    <t>6M</t>
  </si>
  <si>
    <t>1Y</t>
  </si>
  <si>
    <t>3Y</t>
  </si>
  <si>
    <t>Bid</t>
  </si>
  <si>
    <t>Ask</t>
  </si>
  <si>
    <t>2Y</t>
  </si>
  <si>
    <t>5Y</t>
  </si>
  <si>
    <t>10Y</t>
  </si>
  <si>
    <t>Nom</t>
  </si>
  <si>
    <t>Taux CAD</t>
  </si>
  <si>
    <t>Taux CHF</t>
  </si>
  <si>
    <t>Taux NOK</t>
  </si>
  <si>
    <t>Taux GBP</t>
  </si>
  <si>
    <t>Taux EURO</t>
  </si>
  <si>
    <t>Taux USD</t>
  </si>
  <si>
    <t>Taux NZD</t>
  </si>
  <si>
    <t xml:space="preserve"> </t>
  </si>
  <si>
    <t>°</t>
  </si>
  <si>
    <t>EURSGD</t>
  </si>
  <si>
    <t>EURSEK</t>
  </si>
  <si>
    <t>EURNOK</t>
  </si>
  <si>
    <t>USDNOK</t>
  </si>
  <si>
    <t>USDSEK</t>
  </si>
  <si>
    <t>EURAUD</t>
  </si>
  <si>
    <t>JPYUSD</t>
  </si>
  <si>
    <t>EURJPY</t>
  </si>
  <si>
    <t>NZDUSD</t>
  </si>
  <si>
    <t>EURNZD</t>
  </si>
  <si>
    <t>EURDKK</t>
  </si>
  <si>
    <t>USDCHF</t>
  </si>
  <si>
    <t>EURCAD</t>
  </si>
  <si>
    <t>EURCHF</t>
  </si>
  <si>
    <t>EURGBP</t>
  </si>
  <si>
    <t>GBPUSD</t>
  </si>
  <si>
    <t>EURUSD</t>
  </si>
  <si>
    <t>Last</t>
  </si>
  <si>
    <t>Over_night</t>
  </si>
  <si>
    <t>1month</t>
  </si>
  <si>
    <t>3Month</t>
  </si>
  <si>
    <t>6Month</t>
  </si>
  <si>
    <t>1Year</t>
  </si>
  <si>
    <t>1Month</t>
  </si>
  <si>
    <t>ATM</t>
  </si>
  <si>
    <t>TIME</t>
  </si>
  <si>
    <t xml:space="preserve">25 Delta Risk Reversal </t>
  </si>
  <si>
    <t>ON</t>
  </si>
  <si>
    <t>10 Delta Risk Reversal</t>
  </si>
  <si>
    <t>25 Delta Butterfly</t>
  </si>
  <si>
    <t>10 Delta Butterfly</t>
  </si>
  <si>
    <t>CAD1MOIS=</t>
  </si>
  <si>
    <t>2Month</t>
  </si>
  <si>
    <t>2W</t>
  </si>
  <si>
    <t>Taux JPY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</si>
</sst>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6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C2C2C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E0"/>
        <bgColor indexed="64"/>
      </patternFill>
    </fill>
    <fill>
      <patternFill patternType="solid">
        <fgColor rgb="FFEFE9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49" fontId="1" fillId="2" borderId="0" xfId="0" applyNumberFormat="1" applyFon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49" fontId="1" fillId="2" borderId="1" xfId="0" applyNumberFormat="1" applyFont="1" applyFill="1" applyBorder="1" applyAlignment="1">
      <alignment horizontal="center" vertical="top"/>
    </xf>
    <xf numFmtId="49" fontId="1" fillId="2" borderId="2" xfId="0" applyNumberFormat="1" applyFont="1" applyFill="1" applyBorder="1" applyAlignment="1">
      <alignment horizontal="center" vertical="top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49" fontId="1" fillId="2" borderId="7" xfId="0" applyNumberFormat="1" applyFont="1" applyFill="1" applyBorder="1" applyAlignment="1">
      <alignment horizontal="left" vertical="top"/>
    </xf>
    <xf numFmtId="49" fontId="1" fillId="2" borderId="8" xfId="0" applyNumberFormat="1" applyFont="1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0" borderId="4" xfId="0" applyBorder="1"/>
    <xf numFmtId="0" fontId="0" fillId="3" borderId="5" xfId="0" applyFill="1" applyBorder="1" applyAlignment="1">
      <alignment horizontal="left" vertical="top"/>
    </xf>
    <xf numFmtId="0" fontId="0" fillId="0" borderId="6" xfId="0" applyBorder="1"/>
    <xf numFmtId="49" fontId="1" fillId="2" borderId="7" xfId="0" applyNumberFormat="1" applyFont="1" applyFill="1" applyBorder="1" applyAlignment="1">
      <alignment horizontal="center" vertical="top"/>
    </xf>
    <xf numFmtId="49" fontId="1" fillId="2" borderId="8" xfId="0" applyNumberFormat="1" applyFont="1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3" borderId="5" xfId="0" applyFill="1" applyBorder="1" applyAlignment="1">
      <alignment horizontal="center" vertical="top"/>
    </xf>
    <xf numFmtId="0" fontId="0" fillId="0" borderId="9" xfId="0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4" borderId="9" xfId="0" applyFill="1" applyBorder="1"/>
    <xf numFmtId="0" fontId="0" fillId="0" borderId="9" xfId="0" applyBorder="1"/>
    <xf numFmtId="22" fontId="0" fillId="0" borderId="0" xfId="0" applyNumberFormat="1"/>
    <xf numFmtId="164" fontId="1" fillId="2" borderId="0" xfId="0" applyNumberFormat="1" applyFont="1" applyFill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0" fillId="0" borderId="0" xfId="0" quotePrefix="1"/>
    <xf numFmtId="49" fontId="1" fillId="2" borderId="9" xfId="0" applyNumberFormat="1" applyFont="1" applyFill="1" applyBorder="1" applyAlignment="1">
      <alignment horizontal="center" vertical="top"/>
    </xf>
    <xf numFmtId="0" fontId="0" fillId="0" borderId="9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11" xfId="0" quotePrefix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1" xfId="0" quotePrefix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6" fontId="0" fillId="0" borderId="0" xfId="0" quotePrefix="1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0" fontId="0" fillId="4" borderId="9" xfId="0" quotePrefix="1" applyFill="1" applyBorder="1"/>
    <xf numFmtId="0" fontId="0" fillId="4" borderId="2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49" fontId="1" fillId="2" borderId="23" xfId="0" applyNumberFormat="1" applyFont="1" applyFill="1" applyBorder="1" applyAlignment="1">
      <alignment horizontal="center" vertical="top"/>
    </xf>
    <xf numFmtId="0" fontId="0" fillId="5" borderId="9" xfId="0" applyFill="1" applyBorder="1"/>
    <xf numFmtId="49" fontId="0" fillId="5" borderId="23" xfId="0" applyNumberFormat="1" applyFill="1" applyBorder="1" applyAlignment="1">
      <alignment vertical="top"/>
    </xf>
    <xf numFmtId="0" fontId="0" fillId="5" borderId="23" xfId="0" applyFill="1" applyBorder="1" applyAlignment="1">
      <alignment vertical="top"/>
    </xf>
    <xf numFmtId="49" fontId="0" fillId="0" borderId="9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F65EF-866F-4CC8-83FC-8E32A4ABC4D5}">
  <sheetPr codeName="Feuil28"/>
  <dimension ref="A1:E18"/>
  <sheetViews>
    <sheetView workbookViewId="0">
      <selection activeCell="B3" sqref="B3"/>
    </sheetView>
  </sheetViews>
  <sheetFormatPr baseColWidth="10" defaultRowHeight="14.4" x14ac:dyDescent="0.3"/>
  <cols>
    <col min="2" max="3" width="11.5546875" style="39"/>
  </cols>
  <sheetData>
    <row r="1" spans="1:5" x14ac:dyDescent="0.3">
      <c r="A1" s="60" t="s">
        <v>12</v>
      </c>
      <c r="B1" s="60" t="s">
        <v>7</v>
      </c>
      <c r="C1" s="60" t="s">
        <v>8</v>
      </c>
    </row>
    <row r="2" spans="1:5" x14ac:dyDescent="0.3">
      <c r="A2" s="60" t="s">
        <v>38</v>
      </c>
      <c r="B2" s="38" t="e">
        <f ca="1">_xll.TR("EUR=","BID;ASK",D3)</f>
        <v>#NAME?</v>
      </c>
      <c r="C2" s="38">
        <v>0.97510000000000008</v>
      </c>
    </row>
    <row r="3" spans="1:5" x14ac:dyDescent="0.3">
      <c r="A3" s="60" t="s">
        <v>37</v>
      </c>
      <c r="B3" s="38" t="e">
        <f ca="1">_xll.TR("GBP=","BID;ASK",D3)</f>
        <v>#NAME?</v>
      </c>
      <c r="C3" s="38">
        <v>1.1273</v>
      </c>
      <c r="E3" s="30"/>
    </row>
    <row r="4" spans="1:5" x14ac:dyDescent="0.3">
      <c r="A4" s="60" t="s">
        <v>36</v>
      </c>
      <c r="B4" s="38" t="e">
        <f ca="1">_xll.TR("GBPEUR=","BID;ASK",D3)</f>
        <v>#NAME?</v>
      </c>
      <c r="C4" s="38">
        <v>1.1563000000000001</v>
      </c>
    </row>
    <row r="5" spans="1:5" x14ac:dyDescent="0.3">
      <c r="A5" s="60" t="s">
        <v>35</v>
      </c>
      <c r="B5" s="38" t="e">
        <f ca="1">_xll.TR("EURCHF=","BID;ASK",D3)</f>
        <v>#NAME?</v>
      </c>
      <c r="C5" s="38">
        <v>0.97630000000000006</v>
      </c>
    </row>
    <row r="6" spans="1:5" x14ac:dyDescent="0.3">
      <c r="A6" s="60" t="s">
        <v>34</v>
      </c>
      <c r="B6" s="38" t="e">
        <f ca="1">_xll.TR("EURCAD=","BID;ASK",D3)</f>
        <v>#NAME?</v>
      </c>
      <c r="C6" s="38">
        <v>1.3446</v>
      </c>
    </row>
    <row r="7" spans="1:5" x14ac:dyDescent="0.3">
      <c r="A7" s="60" t="s">
        <v>33</v>
      </c>
      <c r="B7" s="38" t="e">
        <f ca="1">_xll.TR("CHF=","BID;ASK",D3)</f>
        <v>#NAME?</v>
      </c>
      <c r="C7" s="38">
        <v>1.0012000000000001</v>
      </c>
    </row>
    <row r="8" spans="1:5" x14ac:dyDescent="0.3">
      <c r="A8" s="60" t="s">
        <v>32</v>
      </c>
      <c r="B8" s="38" t="e">
        <f ca="1">_xll.TR("EURDKK=","BID;ASK",D3)</f>
        <v>#NAME?</v>
      </c>
      <c r="C8" s="38">
        <v>7.4383000000000008</v>
      </c>
    </row>
    <row r="9" spans="1:5" x14ac:dyDescent="0.3">
      <c r="A9" s="60" t="s">
        <v>31</v>
      </c>
      <c r="B9" s="38" t="e">
        <f ca="1">_xll.TR("EURNZD=","BID;ASK",D3)</f>
        <v>#NAME?</v>
      </c>
      <c r="C9" s="38">
        <v>1.7318</v>
      </c>
    </row>
    <row r="10" spans="1:5" x14ac:dyDescent="0.3">
      <c r="A10" s="60" t="s">
        <v>30</v>
      </c>
      <c r="B10" s="38" t="e">
        <f ca="1">_xll.TR("NZD=","BID;ASK",D3)</f>
        <v>#NAME?</v>
      </c>
      <c r="C10" s="38">
        <v>0.56320000000000003</v>
      </c>
    </row>
    <row r="11" spans="1:5" x14ac:dyDescent="0.3">
      <c r="A11" s="60" t="s">
        <v>29</v>
      </c>
      <c r="B11" s="38" t="e">
        <f ca="1">_xll.TR("EURJPY=","BID;ASK",D3)</f>
        <v>#NAME?</v>
      </c>
      <c r="C11" s="38">
        <v>143.97999999999999</v>
      </c>
    </row>
    <row r="12" spans="1:5" x14ac:dyDescent="0.3">
      <c r="A12" s="60" t="s">
        <v>28</v>
      </c>
      <c r="B12" s="38" t="e">
        <f ca="1">_xll.TR("JPY=","BID;ASK",D3)</f>
        <v>#NAME?</v>
      </c>
      <c r="C12" s="38">
        <v>147.66</v>
      </c>
    </row>
    <row r="13" spans="1:5" x14ac:dyDescent="0.3">
      <c r="A13" s="60" t="s">
        <v>27</v>
      </c>
      <c r="B13" s="38" t="e">
        <f ca="1">_xll.TR("EURAUD=","BID;ASK",D3)</f>
        <v>#NAME?</v>
      </c>
      <c r="C13" s="38">
        <v>1.5491000000000001</v>
      </c>
    </row>
    <row r="14" spans="1:5" x14ac:dyDescent="0.3">
      <c r="A14" s="60" t="s">
        <v>26</v>
      </c>
      <c r="B14" s="38" t="e">
        <f ca="1">_xll.TR("SEK=","BID;ASK",D3)</f>
        <v>#NAME?</v>
      </c>
      <c r="C14" s="38">
        <v>11.2956</v>
      </c>
    </row>
    <row r="15" spans="1:5" x14ac:dyDescent="0.3">
      <c r="A15" s="60" t="s">
        <v>25</v>
      </c>
      <c r="B15" s="38" t="e">
        <f ca="1">_xll.TR("NOK=","BID;ASK",D3)</f>
        <v>#NAME?</v>
      </c>
      <c r="C15" s="38">
        <v>10.600300000000001</v>
      </c>
    </row>
    <row r="16" spans="1:5" x14ac:dyDescent="0.3">
      <c r="A16" s="60" t="s">
        <v>24</v>
      </c>
      <c r="B16" s="38" t="e">
        <f ca="1">_xll.TR("EURNOK=","BID;ASK",D3)</f>
        <v>#NAME?</v>
      </c>
      <c r="C16" s="38">
        <v>10.3347</v>
      </c>
    </row>
    <row r="17" spans="1:3" x14ac:dyDescent="0.3">
      <c r="A17" s="60" t="s">
        <v>23</v>
      </c>
      <c r="B17" s="38" t="e">
        <f ca="1">_xll.TR("EURSEK=","BID;ASK",D3)</f>
        <v>#NAME?</v>
      </c>
      <c r="C17" s="38">
        <v>11.017100000000001</v>
      </c>
    </row>
    <row r="18" spans="1:3" x14ac:dyDescent="0.3">
      <c r="A18" s="60" t="s">
        <v>22</v>
      </c>
      <c r="B18" s="38" t="e">
        <f ca="1">_xll.TR("EURSGD=","BID;ASK",D3)</f>
        <v>#NAME?</v>
      </c>
      <c r="C18" s="38">
        <v>1.3887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FD5B-51A0-45FE-BF37-142CCD746E59}">
  <sheetPr codeName="Feuil33"/>
  <dimension ref="A1:F12"/>
  <sheetViews>
    <sheetView workbookViewId="0">
      <selection activeCell="E23" sqref="E23"/>
    </sheetView>
  </sheetViews>
  <sheetFormatPr baseColWidth="10" defaultRowHeight="14.4" x14ac:dyDescent="0.3"/>
  <cols>
    <col min="1" max="1" width="5.21875" bestFit="1" customWidth="1"/>
    <col min="3" max="3" width="18.44140625" customWidth="1"/>
    <col min="4" max="4" width="19.44140625" customWidth="1"/>
    <col min="5" max="5" width="17.109375" customWidth="1"/>
    <col min="6" max="6" width="15.88671875" customWidth="1"/>
  </cols>
  <sheetData>
    <row r="1" spans="1:6" ht="15" thickBot="1" x14ac:dyDescent="0.35">
      <c r="A1" s="42" t="s">
        <v>47</v>
      </c>
      <c r="B1" s="43" t="s">
        <v>46</v>
      </c>
      <c r="C1" s="44" t="s">
        <v>48</v>
      </c>
      <c r="D1" s="44" t="s">
        <v>50</v>
      </c>
      <c r="E1" s="44" t="s">
        <v>51</v>
      </c>
      <c r="F1" s="45" t="s">
        <v>52</v>
      </c>
    </row>
    <row r="2" spans="1:6" x14ac:dyDescent="0.3">
      <c r="A2" s="40" t="s">
        <v>49</v>
      </c>
      <c r="B2" s="46" t="e">
        <f ca="1">_xll.TR("EURONO=","CF_LAST")</f>
        <v>#NAME?</v>
      </c>
      <c r="C2" s="47" t="e">
        <f ca="1">_xll.TR("EURONRR=","CF_LAST")</f>
        <v>#NAME?</v>
      </c>
      <c r="D2" s="47" t="e">
        <f ca="1">_xll.TR("EURONR10=","CF_LAST")</f>
        <v>#NAME?</v>
      </c>
      <c r="E2" s="47" t="e">
        <f ca="1">_xll.TR("EURONBF=","CF_LAST")</f>
        <v>#NAME?</v>
      </c>
      <c r="F2" s="48" t="e">
        <f ca="1">_xll.TR("EURONB10=","CF_LAST")</f>
        <v>#NAME?</v>
      </c>
    </row>
    <row r="3" spans="1:6" x14ac:dyDescent="0.3">
      <c r="A3" s="40" t="s">
        <v>0</v>
      </c>
      <c r="B3" s="47" t="e">
        <f ca="1">_xll.TR("EURSWO=","CF_LAST")</f>
        <v>#NAME?</v>
      </c>
      <c r="C3" s="47" t="e">
        <f ca="1">_xll.TR("EURSWRR=","CF_LAST")</f>
        <v>#NAME?</v>
      </c>
      <c r="D3" s="47" t="e">
        <f ca="1">_xll.TR("EURSWR10=","CF_LAST")</f>
        <v>#NAME?</v>
      </c>
      <c r="E3" s="47" t="e">
        <f ca="1">_xll.TR("EURSWBF=","CF_LAST")</f>
        <v>#NAME?</v>
      </c>
      <c r="F3" s="48" t="e">
        <f ca="1">_xll.TR("EURSWB10=","CF_LAST")</f>
        <v>#NAME?</v>
      </c>
    </row>
    <row r="4" spans="1:6" x14ac:dyDescent="0.3">
      <c r="A4" s="40" t="s">
        <v>1</v>
      </c>
      <c r="B4" s="47" t="e">
        <f ca="1">_xll.TR("EUR1MO=","CF_LAST")</f>
        <v>#NAME?</v>
      </c>
      <c r="C4" s="47" t="e">
        <f ca="1">_xll.TR("EUR1MRR=","CF_LAST")</f>
        <v>#NAME?</v>
      </c>
      <c r="D4" s="47" t="e">
        <f ca="1">_xll.TR("EUR1MR10=","CF_LAST")</f>
        <v>#NAME?</v>
      </c>
      <c r="E4" s="47" t="e">
        <f ca="1">_xll.TR("EUR1MBF=","CF_LAST")</f>
        <v>#NAME?</v>
      </c>
      <c r="F4" s="48" t="e">
        <f ca="1">_xll.TR("EUR1MB10=","CF_LAST")</f>
        <v>#NAME?</v>
      </c>
    </row>
    <row r="5" spans="1:6" x14ac:dyDescent="0.3">
      <c r="A5" s="40" t="s">
        <v>2</v>
      </c>
      <c r="B5" s="47" t="e">
        <f ca="1">_xll.TR("EUR2MO=","CF_LAST")</f>
        <v>#NAME?</v>
      </c>
      <c r="C5" s="47" t="e">
        <f ca="1">_xll.TR("EUR2MRR=","CF_LAST")</f>
        <v>#NAME?</v>
      </c>
      <c r="D5" s="47" t="e">
        <f ca="1">_xll.TR("EUR2MR10=","CF_LAST")</f>
        <v>#NAME?</v>
      </c>
      <c r="E5" s="47" t="e">
        <f ca="1">_xll.TR("EUR2MBF=","CF_LAST")</f>
        <v>#NAME?</v>
      </c>
      <c r="F5" s="48" t="e">
        <f ca="1">_xll.TR("EUR2MB10=","CF_LAST")</f>
        <v>#NAME?</v>
      </c>
    </row>
    <row r="6" spans="1:6" x14ac:dyDescent="0.3">
      <c r="A6" s="40" t="s">
        <v>3</v>
      </c>
      <c r="B6" s="47" t="e">
        <f ca="1">_xll.TR("EUR3MO=","CF_LAST")</f>
        <v>#NAME?</v>
      </c>
      <c r="C6" s="47" t="e">
        <f ca="1">_xll.TR("EUR3MRR=","CF_LAST")</f>
        <v>#NAME?</v>
      </c>
      <c r="D6" s="47" t="e">
        <f ca="1">_xll.TR("EUR3MR10=","CF_LAST")</f>
        <v>#NAME?</v>
      </c>
      <c r="E6" s="47" t="e">
        <f ca="1">_xll.TR("EUR3MBF=","CF_LAST")</f>
        <v>#NAME?</v>
      </c>
      <c r="F6" s="48" t="e">
        <f ca="1">_xll.TR("EUR3MB10=","CF_LAST")</f>
        <v>#NAME?</v>
      </c>
    </row>
    <row r="7" spans="1:6" x14ac:dyDescent="0.3">
      <c r="A7" s="40" t="s">
        <v>4</v>
      </c>
      <c r="B7" s="47" t="e">
        <f ca="1">_xll.TR("EUR1MO=","CF_LAST")</f>
        <v>#NAME?</v>
      </c>
      <c r="C7" s="47" t="e">
        <f ca="1">_xll.TR("EUR6MRR=","CF_LAST")</f>
        <v>#NAME?</v>
      </c>
      <c r="D7" s="47" t="e">
        <f ca="1">_xll.TR("EUR6MR10=","CF_LAST")</f>
        <v>#NAME?</v>
      </c>
      <c r="E7" s="47" t="e">
        <f ca="1">_xll.TR("EUR6MBF=","CF_LAST")</f>
        <v>#NAME?</v>
      </c>
      <c r="F7" s="48" t="e">
        <f ca="1">_xll.TR("EUR6MB10=","CF_LAST")</f>
        <v>#NAME?</v>
      </c>
    </row>
    <row r="8" spans="1:6" x14ac:dyDescent="0.3">
      <c r="A8" s="40" t="s">
        <v>5</v>
      </c>
      <c r="B8" s="47" t="e">
        <f ca="1">_xll.TR("EUR1YO=","CF_LAST")</f>
        <v>#NAME?</v>
      </c>
      <c r="C8" s="47" t="e">
        <f ca="1">_xll.TR("EUR1YRR=","CF_LAST")</f>
        <v>#NAME?</v>
      </c>
      <c r="D8" s="47" t="e">
        <f ca="1">_xll.TR("EUR1YR10=","CF_LAST")</f>
        <v>#NAME?</v>
      </c>
      <c r="E8" s="47" t="e">
        <f ca="1">_xll.TR("EUR1YBF=","CF_LAST",)</f>
        <v>#NAME?</v>
      </c>
      <c r="F8" s="48" t="e">
        <f ca="1">_xll.TR("EUR1YB10=","CF_LAST")</f>
        <v>#NAME?</v>
      </c>
    </row>
    <row r="9" spans="1:6" x14ac:dyDescent="0.3">
      <c r="A9" s="40" t="s">
        <v>9</v>
      </c>
      <c r="B9" s="47" t="e">
        <f ca="1">_xll.TR("EUR2YO=","CF_LAST")</f>
        <v>#NAME?</v>
      </c>
      <c r="C9" s="47" t="e">
        <f ca="1">_xll.TR("EUR2YRR=","CF_LAST")</f>
        <v>#NAME?</v>
      </c>
      <c r="D9" s="47" t="e">
        <f ca="1">_xll.TR("EUR2YR10=","CF_LAST")</f>
        <v>#NAME?</v>
      </c>
      <c r="E9" s="47" t="e">
        <f ca="1">_xll.TR("EUR2YBF=","CF_LAST")</f>
        <v>#NAME?</v>
      </c>
      <c r="F9" s="48" t="e">
        <f ca="1">_xll.TR("EUR2YB10=","CF_LAST")</f>
        <v>#NAME?</v>
      </c>
    </row>
    <row r="10" spans="1:6" x14ac:dyDescent="0.3">
      <c r="A10" s="40" t="s">
        <v>6</v>
      </c>
      <c r="B10" s="47" t="e">
        <f ca="1">_xll.TR("EUR3YO=","CF_LAST")</f>
        <v>#NAME?</v>
      </c>
      <c r="C10" s="47" t="e">
        <f ca="1">_xll.TR("EUR3YRR=","CF_LAST")</f>
        <v>#NAME?</v>
      </c>
      <c r="D10" s="47" t="e">
        <f ca="1">_xll.TR("EUR3YR10=","CF_LAST")</f>
        <v>#NAME?</v>
      </c>
      <c r="E10" s="47" t="e">
        <f ca="1">_xll.TR("EUR3YBF=","CF_LAST")</f>
        <v>#NAME?</v>
      </c>
      <c r="F10" s="48" t="e">
        <f ca="1">_xll.TR("EUR3YB10=","CF_LAST")</f>
        <v>#NAME?</v>
      </c>
    </row>
    <row r="11" spans="1:6" x14ac:dyDescent="0.3">
      <c r="A11" s="40" t="s">
        <v>10</v>
      </c>
      <c r="B11" s="47" t="e">
        <f ca="1">_xll.TR("EUR5YO=","CF_LAST")</f>
        <v>#NAME?</v>
      </c>
      <c r="C11" s="47" t="e">
        <f ca="1">_xll.TR("EUR5YRR=","CF_LAST")</f>
        <v>#NAME?</v>
      </c>
      <c r="D11" s="47" t="e">
        <f ca="1">_xll.TR("EUR5YR10=","CF_LAST")</f>
        <v>#NAME?</v>
      </c>
      <c r="E11" s="47" t="e">
        <f ca="1">_xll.TR("EUR5YBF=","CF_LAST")</f>
        <v>#NAME?</v>
      </c>
      <c r="F11" s="48" t="e">
        <f ca="1">_xll.TR("EUR5YB10=","CF_LAST",)</f>
        <v>#NAME?</v>
      </c>
    </row>
    <row r="12" spans="1:6" ht="15" thickBot="1" x14ac:dyDescent="0.35">
      <c r="A12" s="41" t="s">
        <v>11</v>
      </c>
      <c r="B12" s="49" t="e">
        <f ca="1">_xll.TR("EUR10YO=","CF_LAST")</f>
        <v>#NAME?</v>
      </c>
      <c r="C12" s="49" t="e">
        <f ca="1">_xll.TR("EUR10YRR=","CF_LAST")</f>
        <v>#NAME?</v>
      </c>
      <c r="D12" s="49" t="e">
        <f ca="1">_xll.TR("EUR10YR10=","CF_LAST")</f>
        <v>#NAME?</v>
      </c>
      <c r="E12" s="49" t="e">
        <f ca="1">_xll.TR("EUR10YBF=","CF_LAST")</f>
        <v>#NAME?</v>
      </c>
      <c r="F12" s="50" t="e">
        <f ca="1">_xll.TR("EUR10YB10=","CF_LAST")</f>
        <v>#NAME?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45D2B-6770-4D5D-9490-0F887BEE54CA}">
  <sheetPr codeName="Feuil34"/>
  <dimension ref="A1:F12"/>
  <sheetViews>
    <sheetView workbookViewId="0">
      <selection activeCell="F13" sqref="F13"/>
    </sheetView>
  </sheetViews>
  <sheetFormatPr baseColWidth="10" defaultRowHeight="14.4" x14ac:dyDescent="0.3"/>
  <cols>
    <col min="3" max="3" width="19.33203125" bestFit="1" customWidth="1"/>
    <col min="4" max="4" width="18.88671875" bestFit="1" customWidth="1"/>
    <col min="5" max="5" width="16.5546875" customWidth="1"/>
    <col min="6" max="6" width="17.6640625" customWidth="1"/>
  </cols>
  <sheetData>
    <row r="1" spans="1:6" x14ac:dyDescent="0.3">
      <c r="A1" s="25" t="s">
        <v>47</v>
      </c>
      <c r="B1" s="51" t="s">
        <v>46</v>
      </c>
      <c r="C1" s="25" t="s">
        <v>48</v>
      </c>
      <c r="D1" s="25" t="s">
        <v>50</v>
      </c>
      <c r="E1" s="25" t="s">
        <v>51</v>
      </c>
      <c r="F1" s="25" t="s">
        <v>52</v>
      </c>
    </row>
    <row r="2" spans="1:6" x14ac:dyDescent="0.3">
      <c r="A2" s="25" t="s">
        <v>49</v>
      </c>
      <c r="B2" s="33" t="e">
        <f ca="1">_xll.TR("EURJPYONO=","CF_LAST")</f>
        <v>#NAME?</v>
      </c>
      <c r="C2" s="17" t="e">
        <f ca="1">_xll.TR("EUJPONRR=","CF_LAST")</f>
        <v>#NAME?</v>
      </c>
      <c r="D2" s="17" t="e">
        <f ca="1">_xll.TR("EUJPONR10=","CF_LAST")</f>
        <v>#NAME?</v>
      </c>
      <c r="E2" s="17" t="e">
        <f ca="1">_xll.TR("EUJPONBF=","CF_LAST")</f>
        <v>#NAME?</v>
      </c>
      <c r="F2" s="17" t="e">
        <f ca="1">_xll.TR("EUJPONB10=","CF_LAST")</f>
        <v>#NAME?</v>
      </c>
    </row>
    <row r="3" spans="1:6" x14ac:dyDescent="0.3">
      <c r="A3" s="25" t="s">
        <v>0</v>
      </c>
      <c r="B3" s="17" t="e">
        <f ca="1">_xll.TR("EURJPYSWO=","CF_LAST")</f>
        <v>#NAME?</v>
      </c>
      <c r="C3" s="17" t="e">
        <f ca="1">_xll.TR("EUJPSWRR=","CF_LAST")</f>
        <v>#NAME?</v>
      </c>
      <c r="D3" s="17" t="e">
        <f ca="1">_xll.TR("EUJPSWR10=","CF_LAST")</f>
        <v>#NAME?</v>
      </c>
      <c r="E3" s="17" t="e">
        <f ca="1">_xll.TR("EUJPSWBF=","CF_LAST")</f>
        <v>#NAME?</v>
      </c>
      <c r="F3" s="17" t="e">
        <f ca="1">_xll.TR("EUJPSWB10=","CF_LAST")</f>
        <v>#NAME?</v>
      </c>
    </row>
    <row r="4" spans="1:6" x14ac:dyDescent="0.3">
      <c r="A4" s="25" t="s">
        <v>1</v>
      </c>
      <c r="B4" s="17" t="e">
        <f ca="1">_xll.TR("EURJPY1MO=","CF_LAST")</f>
        <v>#NAME?</v>
      </c>
      <c r="C4" s="17" t="e">
        <f ca="1">_xll.TR("EUJP1MRR=","CF_LAST",)</f>
        <v>#NAME?</v>
      </c>
      <c r="D4" s="17" t="e">
        <f ca="1">_xll.TR("EUJP1MR10=","CF_LAST")</f>
        <v>#NAME?</v>
      </c>
      <c r="E4" s="17" t="e">
        <f ca="1">_xll.TR("EUJP1MBF=","CF_LAST")</f>
        <v>#NAME?</v>
      </c>
      <c r="F4" s="17" t="e">
        <f ca="1">_xll.TR("EUJP1MB10=","CF_LAST")</f>
        <v>#NAME?</v>
      </c>
    </row>
    <row r="5" spans="1:6" x14ac:dyDescent="0.3">
      <c r="A5" s="25" t="s">
        <v>2</v>
      </c>
      <c r="B5" s="17" t="e">
        <f ca="1">_xll.TR("EURJPY2MO=","CF_LAST")</f>
        <v>#NAME?</v>
      </c>
      <c r="C5" s="17" t="e">
        <f ca="1">_xll.TR("EUJP2MRR=","CF_LAST")</f>
        <v>#NAME?</v>
      </c>
      <c r="D5" s="17" t="e">
        <f ca="1">_xll.TR("EUJP2MR10=","CF_LAST")</f>
        <v>#NAME?</v>
      </c>
      <c r="E5" s="17" t="e">
        <f ca="1">_xll.TR("EUJP2MBF=","CF_LAST")</f>
        <v>#NAME?</v>
      </c>
      <c r="F5" s="17" t="e">
        <f ca="1">_xll.TR("EUJP2MB10=","CF_LAST")</f>
        <v>#NAME?</v>
      </c>
    </row>
    <row r="6" spans="1:6" x14ac:dyDescent="0.3">
      <c r="A6" s="25" t="s">
        <v>3</v>
      </c>
      <c r="B6" s="17" t="e">
        <f ca="1">_xll.TR("EURJPY3MO=","CF_LAST",)</f>
        <v>#NAME?</v>
      </c>
      <c r="C6" s="17" t="e">
        <f ca="1">_xll.TR("EUJP3MRR=","CF_LAST")</f>
        <v>#NAME?</v>
      </c>
      <c r="D6" s="17" t="e">
        <f ca="1">_xll.TR("EUJP3MR10=","CF_LAST")</f>
        <v>#NAME?</v>
      </c>
      <c r="E6" s="17" t="e">
        <f ca="1">_xll.TR("EUJP3MBF=","CF_LAST")</f>
        <v>#NAME?</v>
      </c>
      <c r="F6" s="17" t="e">
        <f ca="1">_xll.TR("EUJP3MB10=","CF_LAST")</f>
        <v>#NAME?</v>
      </c>
    </row>
    <row r="7" spans="1:6" x14ac:dyDescent="0.3">
      <c r="A7" s="25" t="s">
        <v>4</v>
      </c>
      <c r="B7" s="17" t="e">
        <f ca="1">_xll.TR("EURJPY1MO=","CF_LAST")</f>
        <v>#NAME?</v>
      </c>
      <c r="C7" s="17" t="e">
        <f ca="1">_xll.TR("EUJP6MRR=","CF_LAST")</f>
        <v>#NAME?</v>
      </c>
      <c r="D7" s="17" t="e">
        <f ca="1">_xll.TR("EUJP6MR10=","CF_LAST")</f>
        <v>#NAME?</v>
      </c>
      <c r="E7" s="17" t="e">
        <f ca="1">_xll.TR("EUJP6MBF=","CF_LAST")</f>
        <v>#NAME?</v>
      </c>
      <c r="F7" s="17" t="e">
        <f ca="1">_xll.TR("EUJP6MB10=","CF_LAST")</f>
        <v>#NAME?</v>
      </c>
    </row>
    <row r="8" spans="1:6" x14ac:dyDescent="0.3">
      <c r="A8" s="25" t="s">
        <v>5</v>
      </c>
      <c r="B8" s="17" t="e">
        <f ca="1">_xll.TR("EURJPY1YO=","CF_LAST")</f>
        <v>#NAME?</v>
      </c>
      <c r="C8" s="17" t="e">
        <f ca="1">_xll.TR("EUJP1YRR=","CF_LAST")</f>
        <v>#NAME?</v>
      </c>
      <c r="D8" s="17" t="e">
        <f ca="1">_xll.TR("EUJP1YR10=","CF_LAST")</f>
        <v>#NAME?</v>
      </c>
      <c r="E8" s="17" t="e">
        <f ca="1">_xll.TR("EUJP1YBF=","CF_LAST")</f>
        <v>#NAME?</v>
      </c>
      <c r="F8" s="17" t="e">
        <f ca="1">_xll.TR("EUJP1YB10=","CF_LAST")</f>
        <v>#NAME?</v>
      </c>
    </row>
    <row r="9" spans="1:6" x14ac:dyDescent="0.3">
      <c r="A9" s="25" t="s">
        <v>9</v>
      </c>
      <c r="B9" s="17" t="e">
        <f ca="1">_xll.TR("EURJPY2YO=","CF_LAST")</f>
        <v>#NAME?</v>
      </c>
      <c r="C9" s="17" t="e">
        <f ca="1">_xll.TR("EUJP2YRR=","CF_LAST")</f>
        <v>#NAME?</v>
      </c>
      <c r="D9" s="17" t="e">
        <f ca="1">_xll.TR("EUJP2YR10=","CF_LAST")</f>
        <v>#NAME?</v>
      </c>
      <c r="E9" s="17" t="e">
        <f ca="1">_xll.TR("EUJP2YBF=","CF_LAST")</f>
        <v>#NAME?</v>
      </c>
      <c r="F9" s="17" t="e">
        <f ca="1">_xll.TR("EUJP2YB10=","CF_LAST")</f>
        <v>#NAME?</v>
      </c>
    </row>
    <row r="10" spans="1:6" x14ac:dyDescent="0.3">
      <c r="A10" s="25" t="s">
        <v>6</v>
      </c>
      <c r="B10" s="17" t="e">
        <f ca="1">_xll.TR("EURJPY3YO=","CF_LAST")</f>
        <v>#NAME?</v>
      </c>
      <c r="C10" s="17" t="e">
        <f ca="1">_xll.TR("EUJP3YRR=","CF_LAST")</f>
        <v>#NAME?</v>
      </c>
      <c r="D10" s="17" t="e">
        <f ca="1">_xll.TR("EUJP3YR10=","CF_LAST")</f>
        <v>#NAME?</v>
      </c>
      <c r="E10" s="17" t="e">
        <f ca="1">_xll.TR("EUJP3YBF=","CF_LAST")</f>
        <v>#NAME?</v>
      </c>
      <c r="F10" s="17" t="e">
        <f ca="1">_xll.TR("EUJP3YB10=","CF_LAST")</f>
        <v>#NAME?</v>
      </c>
    </row>
    <row r="11" spans="1:6" x14ac:dyDescent="0.3">
      <c r="A11" s="25" t="s">
        <v>10</v>
      </c>
      <c r="B11" s="17" t="e">
        <f ca="1">_xll.TR("EURJPY5YO=","CF_LAST")</f>
        <v>#NAME?</v>
      </c>
      <c r="C11" s="17" t="e">
        <f ca="1">_xll.TR("EUJP5YRR=","CF_LAST")</f>
        <v>#NAME?</v>
      </c>
      <c r="D11" s="17" t="e">
        <f ca="1">_xll.TR("EUJP5YR10=","CF_LAST")</f>
        <v>#NAME?</v>
      </c>
      <c r="E11" s="17" t="e">
        <f ca="1">_xll.TR("EUJP5YBF=","CF_LAST")</f>
        <v>#NAME?</v>
      </c>
      <c r="F11" s="17" t="e">
        <f ca="1">_xll.TR("EUJP5YB10=","CF_LAST")</f>
        <v>#NAME?</v>
      </c>
    </row>
    <row r="12" spans="1:6" x14ac:dyDescent="0.3">
      <c r="A12" s="25" t="s">
        <v>11</v>
      </c>
      <c r="B12" s="17" t="e">
        <f ca="1">_xll.TR("EURJPY10YO=","CF_LAST")</f>
        <v>#NAME?</v>
      </c>
      <c r="C12" s="17" t="e">
        <f ca="1">_xll.TR("EUJP10YRR=","CF_LAST")</f>
        <v>#NAME?</v>
      </c>
      <c r="D12" s="17" t="e">
        <f ca="1">_xll.TR("EUJP10YR10=","CF_LAST")</f>
        <v>#NAME?</v>
      </c>
      <c r="E12" s="17" t="e">
        <f ca="1">_xll.TR("EUJP10YBF=","CF_LAST")</f>
        <v>#NAME?</v>
      </c>
      <c r="F12" s="17" t="e">
        <f ca="1">_xll.TR("EUJP10YB10=","CF_LAST")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48959-C563-48FE-9CC2-7F01EC9D8C0D}">
  <sheetPr codeName="Feuil35"/>
  <dimension ref="A1:F11"/>
  <sheetViews>
    <sheetView workbookViewId="0">
      <selection activeCell="I20" sqref="I20"/>
    </sheetView>
  </sheetViews>
  <sheetFormatPr baseColWidth="10" defaultRowHeight="14.4" x14ac:dyDescent="0.3"/>
  <cols>
    <col min="3" max="3" width="25.77734375" bestFit="1" customWidth="1"/>
    <col min="4" max="4" width="18.88671875" bestFit="1" customWidth="1"/>
    <col min="5" max="5" width="15.33203125" bestFit="1" customWidth="1"/>
    <col min="6" max="6" width="25.77734375" bestFit="1" customWidth="1"/>
  </cols>
  <sheetData>
    <row r="1" spans="1:6" x14ac:dyDescent="0.3">
      <c r="A1" s="22" t="s">
        <v>47</v>
      </c>
      <c r="B1" s="55" t="s">
        <v>46</v>
      </c>
      <c r="C1" s="22" t="s">
        <v>48</v>
      </c>
      <c r="D1" s="22" t="s">
        <v>50</v>
      </c>
      <c r="E1" s="22" t="s">
        <v>51</v>
      </c>
      <c r="F1" s="22" t="s">
        <v>52</v>
      </c>
    </row>
    <row r="2" spans="1:6" x14ac:dyDescent="0.3">
      <c r="A2" s="22" t="s">
        <v>49</v>
      </c>
      <c r="B2" s="33" t="e">
        <f ca="1">_xll.TR("EURCADONO=","CF_LAST")</f>
        <v>#NAME?</v>
      </c>
      <c r="C2" s="17" t="e">
        <f ca="1">_xll.TR("EUCAONRR=","CF_LAST")</f>
        <v>#NAME?</v>
      </c>
      <c r="D2" s="17" t="e">
        <f ca="1">_xll.TR("EUCAONR10=","CF_LAST")</f>
        <v>#NAME?</v>
      </c>
      <c r="E2" s="17" t="e">
        <f ca="1">_xll.TR("EUCAONBF=","CF_LAST")</f>
        <v>#NAME?</v>
      </c>
      <c r="F2" s="17" t="e">
        <f ca="1">_xll.TR("EUCA1MB10=","CF_LAST")</f>
        <v>#NAME?</v>
      </c>
    </row>
    <row r="3" spans="1:6" x14ac:dyDescent="0.3">
      <c r="A3" s="22" t="s">
        <v>0</v>
      </c>
      <c r="B3" s="17" t="e">
        <f ca="1">_xll.TR("EURCADSWO=","CF_LAST")</f>
        <v>#NAME?</v>
      </c>
      <c r="C3" s="17" t="e">
        <f ca="1">_xll.TR("EUCASWRR=","CF_LAST")</f>
        <v>#NAME?</v>
      </c>
      <c r="D3" s="17" t="e">
        <f ca="1">_xll.TR("EUCASWR10=","CF_LAST")</f>
        <v>#NAME?</v>
      </c>
      <c r="E3" s="17" t="e">
        <f ca="1">_xll.TR("EUCASWBF=","CF_LAST")</f>
        <v>#NAME?</v>
      </c>
      <c r="F3" s="17" t="e">
        <f ca="1">_xll.TR("EUCA1MB10=","CF_LAST")</f>
        <v>#NAME?</v>
      </c>
    </row>
    <row r="4" spans="1:6" x14ac:dyDescent="0.3">
      <c r="A4" s="22" t="s">
        <v>1</v>
      </c>
      <c r="B4" s="17" t="e">
        <f ca="1">_xll.TR("EURCAD1MO=","CF_LAST")</f>
        <v>#NAME?</v>
      </c>
      <c r="C4" s="17" t="e">
        <f ca="1">_xll.TR("EUCA1MRR=","CF_LAST",)</f>
        <v>#NAME?</v>
      </c>
      <c r="D4" s="17" t="e">
        <f ca="1">_xll.TR("EUCA1MR10=","CF_LAST")</f>
        <v>#NAME?</v>
      </c>
      <c r="E4" s="17" t="e">
        <f ca="1">_xll.TR("EUCA1MBF=","CF_LAST")</f>
        <v>#NAME?</v>
      </c>
      <c r="F4" s="17" t="e">
        <f ca="1">_xll.TR("EUCA1MB10=","CF_LAST")</f>
        <v>#NAME?</v>
      </c>
    </row>
    <row r="5" spans="1:6" x14ac:dyDescent="0.3">
      <c r="A5" s="22" t="s">
        <v>2</v>
      </c>
      <c r="B5" s="17" t="e">
        <f ca="1">_xll.TR("EURCAD2MO=","CF_LAST")</f>
        <v>#NAME?</v>
      </c>
      <c r="C5" s="17" t="e">
        <f ca="1">_xll.TR("EUCA2MRR=","CF_LAST")</f>
        <v>#NAME?</v>
      </c>
      <c r="D5" s="17" t="e">
        <f ca="1">_xll.TR("EUCA2MR10=","CF_LAST")</f>
        <v>#NAME?</v>
      </c>
      <c r="E5" s="17" t="e">
        <f ca="1">_xll.TR("EUCA2MBF=","CF_LAST")</f>
        <v>#NAME?</v>
      </c>
      <c r="F5" s="17" t="e">
        <f ca="1">_xll.TR("EUCA2MB10=","CF_LAST")</f>
        <v>#NAME?</v>
      </c>
    </row>
    <row r="6" spans="1:6" x14ac:dyDescent="0.3">
      <c r="A6" s="22" t="s">
        <v>3</v>
      </c>
      <c r="B6" s="17" t="e">
        <f ca="1">_xll.TR("EURCAD3MO=","CF_LAST")</f>
        <v>#NAME?</v>
      </c>
      <c r="C6" s="17" t="e">
        <f ca="1">_xll.TR("EUCA3MRR=","CF_LAST")</f>
        <v>#NAME?</v>
      </c>
      <c r="D6" s="17" t="e">
        <f ca="1">_xll.TR("EUCA3MR10=","CF_LAST")</f>
        <v>#NAME?</v>
      </c>
      <c r="E6" s="17" t="e">
        <f ca="1">_xll.TR("EUCA3MBF=","CF_LAST")</f>
        <v>#NAME?</v>
      </c>
      <c r="F6" s="17" t="e">
        <f ca="1">_xll.TR("EUCA3MB10=","CF_LAST")</f>
        <v>#NAME?</v>
      </c>
    </row>
    <row r="7" spans="1:6" x14ac:dyDescent="0.3">
      <c r="A7" s="22" t="s">
        <v>4</v>
      </c>
      <c r="B7" s="17" t="e">
        <f ca="1">_xll.TR("EURCAD1MO=","CF_LAST")</f>
        <v>#NAME?</v>
      </c>
      <c r="C7" s="17" t="e">
        <f ca="1">_xll.TR("EUCA6MRR=","CF_LAST")</f>
        <v>#NAME?</v>
      </c>
      <c r="D7" s="17" t="e">
        <f ca="1">_xll.TR("EUCA6MR10=","CF_LAST")</f>
        <v>#NAME?</v>
      </c>
      <c r="E7" s="17" t="e">
        <f ca="1">_xll.TR("EUCA6MBF=","CF_LAST")</f>
        <v>#NAME?</v>
      </c>
      <c r="F7" s="17" t="e">
        <f ca="1">_xll.TR("EUCA6MB10=","CF_LAST")</f>
        <v>#NAME?</v>
      </c>
    </row>
    <row r="8" spans="1:6" x14ac:dyDescent="0.3">
      <c r="A8" s="22" t="s">
        <v>5</v>
      </c>
      <c r="B8" s="17" t="e">
        <f ca="1">_xll.TR("EURCAD1YO=","CF_LAST")</f>
        <v>#NAME?</v>
      </c>
      <c r="C8" s="17" t="e">
        <f ca="1">_xll.TR("EUCA1YRR=","CF_LAST")</f>
        <v>#NAME?</v>
      </c>
      <c r="D8" s="17" t="e">
        <f ca="1">_xll.TR("EUCA1YR10=","CF_LAST")</f>
        <v>#NAME?</v>
      </c>
      <c r="E8" s="17" t="e">
        <f ca="1">_xll.TR("EUCA1YBF=","CF_LAST")</f>
        <v>#NAME?</v>
      </c>
      <c r="F8" s="17" t="e">
        <f ca="1">_xll.TR("EUCA1YB10=","CF_LAST")</f>
        <v>#NAME?</v>
      </c>
    </row>
    <row r="9" spans="1:6" x14ac:dyDescent="0.3">
      <c r="A9" s="22" t="s">
        <v>9</v>
      </c>
      <c r="B9" s="17" t="e">
        <f ca="1">_xll.TR("EURCAD2YO=","CF_LAST")</f>
        <v>#NAME?</v>
      </c>
      <c r="C9" s="17" t="e">
        <f ca="1">_xll.TR("EUCA2YRR=","CF_LAST")</f>
        <v>#NAME?</v>
      </c>
      <c r="D9" s="17" t="e">
        <f ca="1">_xll.TR("EUCA2YR10=","CF_LAST")</f>
        <v>#NAME?</v>
      </c>
      <c r="E9" s="17" t="e">
        <f ca="1">_xll.TR("EUCA2YBF=","CF_LAST")</f>
        <v>#NAME?</v>
      </c>
      <c r="F9" s="17" t="e">
        <f ca="1">_xll.TR("EUCA2YB10=","CF_LAST")</f>
        <v>#NAME?</v>
      </c>
    </row>
    <row r="10" spans="1:6" x14ac:dyDescent="0.3">
      <c r="A10" s="22" t="s">
        <v>6</v>
      </c>
      <c r="B10" s="17" t="e">
        <f ca="1">_xll.TR("EURCAD3YO=","CF_LAST")</f>
        <v>#NAME?</v>
      </c>
      <c r="C10" s="17" t="e">
        <f ca="1">_xll.TR("EUCA3YRR=","CF_LAST")</f>
        <v>#NAME?</v>
      </c>
      <c r="D10" s="17" t="e">
        <f ca="1">_xll.TR("EUCA3YR10=","CF_LAST")</f>
        <v>#NAME?</v>
      </c>
      <c r="E10" s="17" t="e">
        <f ca="1">_xll.TR("EUCA3YBF=","CF_LAST")</f>
        <v>#NAME?</v>
      </c>
      <c r="F10" s="17" t="e">
        <f ca="1">_xll.TR("EUCA3YB10=","CF_LAST")</f>
        <v>#NAME?</v>
      </c>
    </row>
    <row r="11" spans="1:6" x14ac:dyDescent="0.3">
      <c r="A11" s="22" t="s">
        <v>10</v>
      </c>
      <c r="B11" s="17" t="e">
        <f ca="1">_xll.TR("EURCAD5YO=","CF_LAST")</f>
        <v>#NAME?</v>
      </c>
      <c r="C11" s="17" t="e">
        <f ca="1">_xll.TR("EUCA5YRR=","CF_LAST")</f>
        <v>#NAME?</v>
      </c>
      <c r="D11" s="17" t="e">
        <f ca="1">_xll.TR("EUCA3YRR=","CF_LAST")</f>
        <v>#NAME?</v>
      </c>
      <c r="E11" s="17" t="e">
        <f ca="1">_xll.TR("EUCA5YBF=","CF_LAST")</f>
        <v>#NAME?</v>
      </c>
      <c r="F11" s="17" t="e">
        <f ca="1">_xll.TR("EUCA5YB10=","CF_LAST")</f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1AB2-F070-427E-987F-89FF11F8E34A}">
  <sheetPr codeName="Feuil36"/>
  <dimension ref="A1:F12"/>
  <sheetViews>
    <sheetView workbookViewId="0">
      <selection activeCell="H8" sqref="H8"/>
    </sheetView>
  </sheetViews>
  <sheetFormatPr baseColWidth="10" defaultRowHeight="14.4" x14ac:dyDescent="0.3"/>
  <cols>
    <col min="2" max="2" width="10.21875" customWidth="1"/>
    <col min="3" max="3" width="19.33203125" bestFit="1" customWidth="1"/>
    <col min="4" max="4" width="18.88671875" bestFit="1" customWidth="1"/>
    <col min="5" max="6" width="15.33203125" bestFit="1" customWidth="1"/>
  </cols>
  <sheetData>
    <row r="1" spans="1:6" x14ac:dyDescent="0.3">
      <c r="A1" s="22" t="s">
        <v>47</v>
      </c>
      <c r="B1" s="55" t="s">
        <v>46</v>
      </c>
      <c r="C1" s="22" t="s">
        <v>48</v>
      </c>
      <c r="D1" s="22" t="s">
        <v>50</v>
      </c>
      <c r="E1" s="22" t="s">
        <v>51</v>
      </c>
      <c r="F1" s="22" t="s">
        <v>52</v>
      </c>
    </row>
    <row r="2" spans="1:6" x14ac:dyDescent="0.3">
      <c r="A2" s="22" t="s">
        <v>49</v>
      </c>
      <c r="B2" s="33" t="e">
        <f ca="1">_xll.TR("EURGBPONO=","CF_LAST")</f>
        <v>#NAME?</v>
      </c>
      <c r="C2" s="17" t="e">
        <f ca="1">_xll.TR("EUGBONRR=","CF_LAST")</f>
        <v>#NAME?</v>
      </c>
      <c r="D2" s="17" t="e">
        <f ca="1">_xll.TR("EUGBONR10=","CF_LAST")</f>
        <v>#NAME?</v>
      </c>
      <c r="E2" s="17" t="e">
        <f ca="1">_xll.TR("EUGBONBF=","CF_LAST")</f>
        <v>#NAME?</v>
      </c>
      <c r="F2" s="17" t="e">
        <f ca="1">_xll.TR("EUGBONB10=","CF_LAST")</f>
        <v>#NAME?</v>
      </c>
    </row>
    <row r="3" spans="1:6" x14ac:dyDescent="0.3">
      <c r="A3" s="22" t="s">
        <v>0</v>
      </c>
      <c r="B3" s="17" t="e">
        <f ca="1">_xll.TR("EURGBPSWO=","CF_LAST")</f>
        <v>#NAME?</v>
      </c>
      <c r="C3" s="17" t="e">
        <f ca="1">_xll.TR("EUGBSWRR=","CF_LAST",)</f>
        <v>#NAME?</v>
      </c>
      <c r="D3" s="17" t="e">
        <f ca="1">_xll.TR("EUGBSWR10=","CF_LAST")</f>
        <v>#NAME?</v>
      </c>
      <c r="E3" s="17" t="e">
        <f ca="1">_xll.TR("EUGBSWBF=","CF_LAST")</f>
        <v>#NAME?</v>
      </c>
      <c r="F3" s="17" t="e">
        <f ca="1">_xll.TR("EUGBSWB10=","CF_LAST")</f>
        <v>#NAME?</v>
      </c>
    </row>
    <row r="4" spans="1:6" x14ac:dyDescent="0.3">
      <c r="A4" s="22" t="s">
        <v>1</v>
      </c>
      <c r="B4" s="17" t="e">
        <f ca="1">_xll.TR("EURGBP1MO=","CF_LAST")</f>
        <v>#NAME?</v>
      </c>
      <c r="C4" s="17" t="e">
        <f ca="1">_xll.TR("EUGB1MRR=","CF_LAST")</f>
        <v>#NAME?</v>
      </c>
      <c r="D4" s="17" t="e">
        <f ca="1">_xll.TR("EUGB1MR10=","CF_LAST")</f>
        <v>#NAME?</v>
      </c>
      <c r="E4" s="17" t="e">
        <f ca="1">_xll.TR("EUGB1MBF=","CF_LAST")</f>
        <v>#NAME?</v>
      </c>
      <c r="F4" s="17" t="e">
        <f ca="1">_xll.TR("EUGB1MB10=","CF_LAST")</f>
        <v>#NAME?</v>
      </c>
    </row>
    <row r="5" spans="1:6" x14ac:dyDescent="0.3">
      <c r="A5" s="22" t="s">
        <v>2</v>
      </c>
      <c r="B5" s="17" t="e">
        <f ca="1">_xll.TR("EURGBP2MO=","CF_LAST")</f>
        <v>#NAME?</v>
      </c>
      <c r="C5" s="17" t="e">
        <f ca="1">_xll.TR("EUGB2MRR=","CF_LAST")</f>
        <v>#NAME?</v>
      </c>
      <c r="D5" s="17" t="e">
        <f ca="1">_xll.TR("EUGB2MR10=","CF_LAST")</f>
        <v>#NAME?</v>
      </c>
      <c r="E5" s="17" t="e">
        <f ca="1">_xll.TR("EUGB2MBF=","CF_LAST")</f>
        <v>#NAME?</v>
      </c>
      <c r="F5" s="17" t="e">
        <f ca="1">_xll.TR("EUGB2MB10=","CF_LAST")</f>
        <v>#NAME?</v>
      </c>
    </row>
    <row r="6" spans="1:6" x14ac:dyDescent="0.3">
      <c r="A6" s="22" t="s">
        <v>3</v>
      </c>
      <c r="B6" s="17" t="e">
        <f ca="1">_xll.TR("EURGBP3MO=","CF_LAST")</f>
        <v>#NAME?</v>
      </c>
      <c r="C6" s="17" t="e">
        <f ca="1">_xll.TR("EUGB3MRR=","CF_LAST")</f>
        <v>#NAME?</v>
      </c>
      <c r="D6" s="17" t="e">
        <f ca="1">_xll.TR("EUGB3MR10=","CF_LAST")</f>
        <v>#NAME?</v>
      </c>
      <c r="E6" s="17" t="e">
        <f ca="1">_xll.TR("EUGB3MBF=","CF_LAST")</f>
        <v>#NAME?</v>
      </c>
      <c r="F6" s="17" t="e">
        <f ca="1">_xll.TR("EUGB3MB10=","CF_LAST")</f>
        <v>#NAME?</v>
      </c>
    </row>
    <row r="7" spans="1:6" x14ac:dyDescent="0.3">
      <c r="A7" s="22" t="s">
        <v>4</v>
      </c>
      <c r="B7" s="17" t="e">
        <f ca="1">_xll.TR("EURGBP1MO=","CF_LAST")</f>
        <v>#NAME?</v>
      </c>
      <c r="C7" s="17" t="e">
        <f ca="1">_xll.TR("EUGB6MRR=","CF_LAST")</f>
        <v>#NAME?</v>
      </c>
      <c r="D7" s="17" t="e">
        <f ca="1">_xll.TR("EUGB6MR10=","CF_LAST")</f>
        <v>#NAME?</v>
      </c>
      <c r="E7" s="17" t="e">
        <f ca="1">_xll.TR("EUGB6MBF=","CF_LAST")</f>
        <v>#NAME?</v>
      </c>
      <c r="F7" s="17" t="e">
        <f ca="1">_xll.TR("EUGB6MB10=","CF_LAST")</f>
        <v>#NAME?</v>
      </c>
    </row>
    <row r="8" spans="1:6" x14ac:dyDescent="0.3">
      <c r="A8" s="22" t="s">
        <v>5</v>
      </c>
      <c r="B8" s="17" t="e">
        <f ca="1">_xll.TR("EURGBP1YO=","CF_LAST")</f>
        <v>#NAME?</v>
      </c>
      <c r="C8" s="17" t="e">
        <f ca="1">_xll.TR("EUGB1YRR=","CF_LAST")</f>
        <v>#NAME?</v>
      </c>
      <c r="D8" s="17" t="e">
        <f ca="1">_xll.TR("EUGB1YR10=","CF_LAST")</f>
        <v>#NAME?</v>
      </c>
      <c r="E8" s="17" t="e">
        <f ca="1">_xll.TR("EUGB1YBF=","CF_LAST")</f>
        <v>#NAME?</v>
      </c>
      <c r="F8" s="17" t="e">
        <f ca="1">_xll.TR("EUGB1YB10=","CF_LAST")</f>
        <v>#NAME?</v>
      </c>
    </row>
    <row r="9" spans="1:6" x14ac:dyDescent="0.3">
      <c r="A9" s="22" t="s">
        <v>9</v>
      </c>
      <c r="B9" s="17" t="e">
        <f ca="1">_xll.TR("EURGBP2YO=","CF_LAST")</f>
        <v>#NAME?</v>
      </c>
      <c r="C9" s="17" t="e">
        <f ca="1">_xll.TR("EUGB2YRR=","CF_LAST")</f>
        <v>#NAME?</v>
      </c>
      <c r="D9" s="17" t="e">
        <f ca="1">_xll.TR("EUGB2YR10=","CF_LAST")</f>
        <v>#NAME?</v>
      </c>
      <c r="E9" s="17" t="e">
        <f ca="1">_xll.TR("EUGB2YBF=","CF_LAST",$P$1)</f>
        <v>#NAME?</v>
      </c>
      <c r="F9" s="17" t="e">
        <f ca="1">_xll.TR("EUGB2YB10=","CF_LAST")</f>
        <v>#NAME?</v>
      </c>
    </row>
    <row r="10" spans="1:6" x14ac:dyDescent="0.3">
      <c r="A10" s="22" t="s">
        <v>6</v>
      </c>
      <c r="B10" s="17" t="e">
        <f ca="1">_xll.TR("EURGBP3YO=","CF_LAST")</f>
        <v>#NAME?</v>
      </c>
      <c r="C10" s="17" t="e">
        <f ca="1">_xll.TR("EUGB3YRR=","CF_LAST")</f>
        <v>#NAME?</v>
      </c>
      <c r="D10" s="17" t="e">
        <f ca="1">_xll.TR("EUGB3YR10=","CF_LAST")</f>
        <v>#NAME?</v>
      </c>
      <c r="E10" s="17" t="e">
        <f ca="1">_xll.TR("EUGB3YBF=","CF_LAST")</f>
        <v>#NAME?</v>
      </c>
      <c r="F10" s="17" t="e">
        <f ca="1">_xll.TR("EUGB3YB10=","CF_LAST")</f>
        <v>#NAME?</v>
      </c>
    </row>
    <row r="11" spans="1:6" x14ac:dyDescent="0.3">
      <c r="A11" s="22" t="s">
        <v>10</v>
      </c>
      <c r="B11" s="17" t="e">
        <f ca="1">_xll.TR("EURGBP5YO=","CF_LAST")</f>
        <v>#NAME?</v>
      </c>
      <c r="C11" s="17" t="e">
        <f ca="1">_xll.TR("EUGB5YRR=","CF_LAST")</f>
        <v>#NAME?</v>
      </c>
      <c r="D11" s="17" t="e">
        <f ca="1">_xll.TR("EUGB5YR10=","CF_LAST")</f>
        <v>#NAME?</v>
      </c>
      <c r="E11" s="17" t="e">
        <f ca="1">_xll.TR("EUGB5YBF=","CF_LAST")</f>
        <v>#NAME?</v>
      </c>
      <c r="F11" s="17" t="e">
        <f ca="1">_xll.TR("EUGB5YB10=","CF_LAST")</f>
        <v>#NAME?</v>
      </c>
    </row>
    <row r="12" spans="1:6" x14ac:dyDescent="0.3">
      <c r="A12" s="22" t="s">
        <v>11</v>
      </c>
      <c r="B12" s="17" t="e">
        <f ca="1">_xll.TR("EURGBP10YO=","CF_LAST")</f>
        <v>#NAME?</v>
      </c>
      <c r="C12" s="17" t="e">
        <f ca="1">_xll.TR("EUGB10YRR=","CF_LAST")</f>
        <v>#NAME?</v>
      </c>
      <c r="D12" s="17" t="e">
        <f ca="1">_xll.TR("EUGB10YR10=","CF_LAST")</f>
        <v>#NAME?</v>
      </c>
      <c r="E12" s="17" t="e">
        <f ca="1">_xll.TR("EUGB10YBF=","CF_LAST")</f>
        <v>#NAME?</v>
      </c>
      <c r="F12" s="17" t="e">
        <f ca="1">_xll.TR("EUGB10YB10=","CF_LAST")</f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176A3-8651-4700-A1BA-6A88ECA37B8B}">
  <sheetPr codeName="Feuil37"/>
  <dimension ref="A1:F10"/>
  <sheetViews>
    <sheetView workbookViewId="0">
      <selection activeCell="B11" sqref="B11"/>
    </sheetView>
  </sheetViews>
  <sheetFormatPr baseColWidth="10" defaultRowHeight="14.4" x14ac:dyDescent="0.3"/>
  <cols>
    <col min="3" max="3" width="18.6640625" customWidth="1"/>
    <col min="4" max="4" width="22.77734375" customWidth="1"/>
    <col min="5" max="5" width="22.109375" customWidth="1"/>
    <col min="6" max="6" width="21.33203125" customWidth="1"/>
  </cols>
  <sheetData>
    <row r="1" spans="1:6" x14ac:dyDescent="0.3">
      <c r="A1" s="22" t="s">
        <v>47</v>
      </c>
      <c r="B1" s="55" t="s">
        <v>46</v>
      </c>
      <c r="C1" s="22" t="s">
        <v>48</v>
      </c>
      <c r="D1" s="22" t="s">
        <v>50</v>
      </c>
      <c r="E1" s="22" t="s">
        <v>51</v>
      </c>
      <c r="F1" s="22" t="s">
        <v>52</v>
      </c>
    </row>
    <row r="2" spans="1:6" x14ac:dyDescent="0.3">
      <c r="A2" s="22" t="s">
        <v>49</v>
      </c>
      <c r="B2" s="33" t="e">
        <f ca="1">_xll.TR("EURCHFONO=","CF_LAST")</f>
        <v>#NAME?</v>
      </c>
      <c r="C2" s="17" t="e">
        <f ca="1">_xll.TR("EUCHONRR=","CF_LAST")</f>
        <v>#NAME?</v>
      </c>
      <c r="D2" s="17" t="e">
        <f ca="1">_xll.TR("EUCHONR10=","CF_LAST")</f>
        <v>#NAME?</v>
      </c>
      <c r="E2" s="17" t="e">
        <f ca="1">_xll.TR("EUCHONBF=","CF_LAST")</f>
        <v>#NAME?</v>
      </c>
      <c r="F2" s="17" t="e">
        <f ca="1">_xll.TR("EUCHONB10=","CF_LAST")</f>
        <v>#NAME?</v>
      </c>
    </row>
    <row r="3" spans="1:6" x14ac:dyDescent="0.3">
      <c r="A3" s="22" t="s">
        <v>0</v>
      </c>
      <c r="B3" s="17" t="e">
        <f ca="1">_xll.TR("EURCHFSWO=","CF_LAST")</f>
        <v>#NAME?</v>
      </c>
      <c r="C3" s="17" t="e">
        <f ca="1">_xll.TR("EUCHSWRR=","CF_LAST")</f>
        <v>#NAME?</v>
      </c>
      <c r="D3" s="17" t="e">
        <f ca="1">_xll.TR("EUCHSWR10=","CF_LAST")</f>
        <v>#NAME?</v>
      </c>
      <c r="E3" s="17" t="e">
        <f ca="1">_xll.TR("EUCHSWBF=","CF_LAST")</f>
        <v>#NAME?</v>
      </c>
      <c r="F3" s="17" t="e">
        <f ca="1">_xll.TR("EUCHSWB10=","CF_LAST")</f>
        <v>#NAME?</v>
      </c>
    </row>
    <row r="4" spans="1:6" x14ac:dyDescent="0.3">
      <c r="A4" s="22" t="s">
        <v>1</v>
      </c>
      <c r="B4" s="17" t="e">
        <f ca="1">_xll.TR("EURCHF1MO=","CF_LAST")</f>
        <v>#NAME?</v>
      </c>
      <c r="C4" s="17" t="e">
        <f ca="1">_xll.TR("EUCH1MRR=","CF_LAST")</f>
        <v>#NAME?</v>
      </c>
      <c r="D4" s="17" t="e">
        <f ca="1">_xll.TR("EUCH1MR10=","CF_LAST")</f>
        <v>#NAME?</v>
      </c>
      <c r="E4" s="17" t="e">
        <f ca="1">_xll.TR("EUCH1MBF=","CF_LAST")</f>
        <v>#NAME?</v>
      </c>
      <c r="F4" s="17" t="e">
        <f ca="1">_xll.TR("EUCH1MB10=","CF_LAST")</f>
        <v>#NAME?</v>
      </c>
    </row>
    <row r="5" spans="1:6" x14ac:dyDescent="0.3">
      <c r="A5" s="22" t="s">
        <v>2</v>
      </c>
      <c r="B5" s="17" t="e">
        <f ca="1">_xll.TR("EURCHF2MO=","CF_LAST")</f>
        <v>#NAME?</v>
      </c>
      <c r="C5" s="17" t="e">
        <f ca="1">_xll.TR("EUCH2MRR=","CF_LAST")</f>
        <v>#NAME?</v>
      </c>
      <c r="D5" s="17" t="e">
        <f ca="1">_xll.TR("EUCH2MR10=","CF_LAST",)</f>
        <v>#NAME?</v>
      </c>
      <c r="E5" s="17" t="e">
        <f ca="1">_xll.TR("EUCH2MBF=","CF_LAST")</f>
        <v>#NAME?</v>
      </c>
      <c r="F5" s="17" t="e">
        <f ca="1">_xll.TR("EUCH2MB10=","CF_LAST")</f>
        <v>#NAME?</v>
      </c>
    </row>
    <row r="6" spans="1:6" x14ac:dyDescent="0.3">
      <c r="A6" s="22" t="s">
        <v>3</v>
      </c>
      <c r="B6" s="17" t="e">
        <f ca="1">_xll.TR("EURCHF3MO=","CF_LAST")</f>
        <v>#NAME?</v>
      </c>
      <c r="C6" s="17" t="e">
        <f ca="1">_xll.TR("EUCH3MRR=","CF_LAST")</f>
        <v>#NAME?</v>
      </c>
      <c r="D6" s="17" t="e">
        <f ca="1">_xll.TR("EUCH3MR10=","CF_LAST")</f>
        <v>#NAME?</v>
      </c>
      <c r="E6" s="17" t="e">
        <f ca="1">_xll.TR("EUCH3MBF=","CF_LAST")</f>
        <v>#NAME?</v>
      </c>
      <c r="F6" s="17" t="e">
        <f ca="1">_xll.TR("EUCH3MB10=","CF_LAST")</f>
        <v>#NAME?</v>
      </c>
    </row>
    <row r="7" spans="1:6" x14ac:dyDescent="0.3">
      <c r="A7" s="22" t="s">
        <v>4</v>
      </c>
      <c r="B7" s="17" t="e">
        <f ca="1">_xll.TR("EURCHF1MO=","CF_LAST")</f>
        <v>#NAME?</v>
      </c>
      <c r="C7" s="17" t="e">
        <f ca="1">_xll.TR("EUCH6MRR=","CF_LAST")</f>
        <v>#NAME?</v>
      </c>
      <c r="D7" s="17" t="e">
        <f ca="1">_xll.TR("EUCH6MR10=","CF_LAST")</f>
        <v>#NAME?</v>
      </c>
      <c r="E7" s="17" t="e">
        <f ca="1">_xll.TR("EUCH6MBF=","CF_LAST")</f>
        <v>#NAME?</v>
      </c>
      <c r="F7" s="17" t="e">
        <f ca="1">_xll.TR("EUCH6MB10=","CF_LAST")</f>
        <v>#NAME?</v>
      </c>
    </row>
    <row r="8" spans="1:6" x14ac:dyDescent="0.3">
      <c r="A8" s="22" t="s">
        <v>5</v>
      </c>
      <c r="B8" s="17" t="e">
        <f ca="1">_xll.TR("EURCHF1YO=","CF_LAST")</f>
        <v>#NAME?</v>
      </c>
      <c r="C8" s="17" t="e">
        <f ca="1">_xll.TR("EUCH1YRR=","CF_LAST")</f>
        <v>#NAME?</v>
      </c>
      <c r="D8" s="17" t="e">
        <f ca="1">_xll.TR("EUCH1YR10=","CF_LAST")</f>
        <v>#NAME?</v>
      </c>
      <c r="E8" s="17" t="e">
        <f ca="1">_xll.TR("EUCH1YBF=","CF_LAST")</f>
        <v>#NAME?</v>
      </c>
      <c r="F8" s="17" t="e">
        <f ca="1">_xll.TR("EUCH1YB10=","CF_LAST")</f>
        <v>#NAME?</v>
      </c>
    </row>
    <row r="9" spans="1:6" x14ac:dyDescent="0.3">
      <c r="A9" s="22" t="s">
        <v>9</v>
      </c>
      <c r="B9" s="17" t="e">
        <f ca="1">_xll.TR("EURCHF2YO=","CF_LAST")</f>
        <v>#NAME?</v>
      </c>
      <c r="C9" s="17" t="e">
        <f ca="1">_xll.TR("EUCH2YRR=","CF_LAST")</f>
        <v>#NAME?</v>
      </c>
      <c r="D9" s="17" t="e">
        <f ca="1">_xll.TR("EUCH2YR10=","CF_LAST")</f>
        <v>#NAME?</v>
      </c>
      <c r="E9" s="17" t="e">
        <f ca="1">_xll.TR("EUCH2YBF=","CF_LAST")</f>
        <v>#NAME?</v>
      </c>
      <c r="F9" s="17" t="e">
        <f ca="1">_xll.TR("EUCH2YB10=","CF_LAST")</f>
        <v>#NAME?</v>
      </c>
    </row>
    <row r="10" spans="1:6" x14ac:dyDescent="0.3">
      <c r="A10" s="22" t="s">
        <v>6</v>
      </c>
      <c r="B10" s="17" t="e">
        <f ca="1">_xll.TR("EURCHF3YO=","CF_LAST")</f>
        <v>#NAME?</v>
      </c>
      <c r="C10" s="17" t="e">
        <f ca="1">_xll.TR("EUCH3YRR=","CF_LAST")</f>
        <v>#NAME?</v>
      </c>
      <c r="D10" s="17" t="e">
        <f ca="1">_xll.TR("EUCH3YR10=","CF_LAST")</f>
        <v>#NAME?</v>
      </c>
      <c r="E10" s="17" t="e">
        <f ca="1">_xll.TR("EUCH3YBF=","CF_LAST",)</f>
        <v>#NAME?</v>
      </c>
      <c r="F10" s="17" t="e">
        <f ca="1">_xll.TR("EUCH3YB10=","CF_LAST")</f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F8C2-F246-4D7B-9451-97CF1ABA78B8}">
  <sheetPr codeName="Feuil38"/>
  <dimension ref="A1:F12"/>
  <sheetViews>
    <sheetView tabSelected="1" workbookViewId="0">
      <selection activeCell="C10" sqref="C10"/>
    </sheetView>
  </sheetViews>
  <sheetFormatPr baseColWidth="10" defaultRowHeight="14.4" x14ac:dyDescent="0.3"/>
  <cols>
    <col min="3" max="3" width="19.88671875" customWidth="1"/>
    <col min="4" max="4" width="20.109375" customWidth="1"/>
    <col min="5" max="5" width="17.88671875" customWidth="1"/>
    <col min="6" max="6" width="17.33203125" customWidth="1"/>
  </cols>
  <sheetData>
    <row r="1" spans="1:6" x14ac:dyDescent="0.3">
      <c r="A1" s="22" t="s">
        <v>47</v>
      </c>
      <c r="B1" s="55" t="s">
        <v>46</v>
      </c>
      <c r="C1" s="22" t="s">
        <v>48</v>
      </c>
      <c r="D1" s="22" t="s">
        <v>50</v>
      </c>
      <c r="E1" s="22" t="s">
        <v>51</v>
      </c>
      <c r="F1" s="22" t="s">
        <v>52</v>
      </c>
    </row>
    <row r="2" spans="1:6" x14ac:dyDescent="0.3">
      <c r="A2" s="22" t="s">
        <v>49</v>
      </c>
      <c r="B2" s="33" t="e">
        <f ca="1">_xll.TR("GBPONO=","CF_LAST")</f>
        <v>#NAME?</v>
      </c>
      <c r="C2" s="17" t="e">
        <f ca="1">_xll.TR("GBPONRR=","CF_LAST")</f>
        <v>#NAME?</v>
      </c>
      <c r="D2" s="17" t="e">
        <f ca="1">_xll.TR("GBPONR10=","CF_LAST")</f>
        <v>#NAME?</v>
      </c>
      <c r="E2" s="17" t="e">
        <f ca="1">_xll.TR("GBPONBF=","CF_LAST")</f>
        <v>#NAME?</v>
      </c>
      <c r="F2" s="17" t="e">
        <f ca="1">_xll.TR("GBPONB10=","CF_LAST")</f>
        <v>#NAME?</v>
      </c>
    </row>
    <row r="3" spans="1:6" x14ac:dyDescent="0.3">
      <c r="A3" s="22" t="s">
        <v>0</v>
      </c>
      <c r="B3" s="17" t="e">
        <f ca="1">_xll.TR("GBPSWO=","CF_LAST")</f>
        <v>#NAME?</v>
      </c>
      <c r="C3" s="17" t="e">
        <f ca="1">_xll.TR("GBPSWRR=","CF_LAST")</f>
        <v>#NAME?</v>
      </c>
      <c r="D3" s="17" t="e">
        <f ca="1">_xll.TR("GBPSWR10=","CF_LAST")</f>
        <v>#NAME?</v>
      </c>
      <c r="E3" s="17" t="e">
        <f ca="1">_xll.TR("GBPSWBF=","CF_LAST")</f>
        <v>#NAME?</v>
      </c>
      <c r="F3" s="17" t="e">
        <f ca="1">_xll.TR("GBPSWB10=","CF_LAST")</f>
        <v>#NAME?</v>
      </c>
    </row>
    <row r="4" spans="1:6" x14ac:dyDescent="0.3">
      <c r="A4" s="22" t="s">
        <v>1</v>
      </c>
      <c r="B4" s="17" t="e">
        <f ca="1">_xll.TR("GBP1MO=","CF_LAST")</f>
        <v>#NAME?</v>
      </c>
      <c r="C4" s="17" t="e">
        <f ca="1">_xll.TR("GBP1MRR=","CF_LAST")</f>
        <v>#NAME?</v>
      </c>
      <c r="D4" s="17" t="e">
        <f ca="1">_xll.TR("GBP1MR10=","CF_LAST")</f>
        <v>#NAME?</v>
      </c>
      <c r="E4" s="17" t="e">
        <f ca="1">_xll.TR("GBP1MBF=","CF_LAST")</f>
        <v>#NAME?</v>
      </c>
      <c r="F4" s="17" t="e">
        <f ca="1">_xll.TR("GBP1MB10=","CF_LAST")</f>
        <v>#NAME?</v>
      </c>
    </row>
    <row r="5" spans="1:6" x14ac:dyDescent="0.3">
      <c r="A5" s="22" t="s">
        <v>2</v>
      </c>
      <c r="B5" s="17" t="e">
        <f ca="1">_xll.TR("GBP2MO=","CF_LAST")</f>
        <v>#NAME?</v>
      </c>
      <c r="C5" s="17" t="e">
        <f ca="1">_xll.TR("GBP2MRR=","CF_LAST")</f>
        <v>#NAME?</v>
      </c>
      <c r="D5" s="17" t="e">
        <f ca="1">_xll.TR("GBP2MR10=","CF_LAST")</f>
        <v>#NAME?</v>
      </c>
      <c r="E5" s="17" t="e">
        <f ca="1">_xll.TR("GBP2MBF=","CF_LAST")</f>
        <v>#NAME?</v>
      </c>
      <c r="F5" s="17" t="e">
        <f ca="1">_xll.TR("GBP2MB10=","CF_LAST")</f>
        <v>#NAME?</v>
      </c>
    </row>
    <row r="6" spans="1:6" x14ac:dyDescent="0.3">
      <c r="A6" s="22" t="s">
        <v>3</v>
      </c>
      <c r="B6" s="17" t="e">
        <f ca="1">_xll.TR("GBP3MO=","CF_LAST")</f>
        <v>#NAME?</v>
      </c>
      <c r="C6" s="17" t="e">
        <f ca="1">_xll.TR("GBP3MRR=","CF_LAST")</f>
        <v>#NAME?</v>
      </c>
      <c r="D6" s="17" t="e">
        <f ca="1">_xll.TR("GBP3MR10=","CF_LAST")</f>
        <v>#NAME?</v>
      </c>
      <c r="E6" s="17" t="e">
        <f ca="1">_xll.TR("GBP3MBF=","CF_LAST")</f>
        <v>#NAME?</v>
      </c>
      <c r="F6" s="17" t="e">
        <f ca="1">_xll.TR("GBP3MB10=","CF_LAST")</f>
        <v>#NAME?</v>
      </c>
    </row>
    <row r="7" spans="1:6" x14ac:dyDescent="0.3">
      <c r="A7" s="22" t="s">
        <v>4</v>
      </c>
      <c r="B7" s="17" t="e">
        <f ca="1">_xll.TR("GBP1MO=","CF_LAST")</f>
        <v>#NAME?</v>
      </c>
      <c r="C7" s="17" t="e">
        <f ca="1">_xll.TR("GBP6MRR=","CF_LAST")</f>
        <v>#NAME?</v>
      </c>
      <c r="D7" s="17" t="e">
        <f ca="1">_xll.TR("GBP6MR10=","CF_LAST")</f>
        <v>#NAME?</v>
      </c>
      <c r="E7" s="17" t="e">
        <f ca="1">_xll.TR("GBP6MBF=","CF_LAST")</f>
        <v>#NAME?</v>
      </c>
      <c r="F7" s="17" t="e">
        <f ca="1">_xll.TR("GBP6MB10=","CF_LAST")</f>
        <v>#NAME?</v>
      </c>
    </row>
    <row r="8" spans="1:6" x14ac:dyDescent="0.3">
      <c r="A8" s="22" t="s">
        <v>5</v>
      </c>
      <c r="B8" s="17" t="e">
        <f ca="1">_xll.TR("GBP1YO=","CF_LAST")</f>
        <v>#NAME?</v>
      </c>
      <c r="C8" s="17" t="e">
        <f ca="1">_xll.TR("GBP1YRR=","CF_LAST")</f>
        <v>#NAME?</v>
      </c>
      <c r="D8" s="17" t="e">
        <f ca="1">_xll.TR("GBP1YR10=","CF_LAST")</f>
        <v>#NAME?</v>
      </c>
      <c r="E8" s="17" t="e">
        <f ca="1">_xll.TR("GBP1YBF=","CF_LAST")</f>
        <v>#NAME?</v>
      </c>
      <c r="F8" s="17" t="e">
        <f ca="1">_xll.TR("GBP1YB10=","CF_LAST")</f>
        <v>#NAME?</v>
      </c>
    </row>
    <row r="9" spans="1:6" x14ac:dyDescent="0.3">
      <c r="A9" s="22" t="s">
        <v>9</v>
      </c>
      <c r="B9" s="17" t="e">
        <f ca="1">_xll.TR("GBP2YO=","CF_LAST")</f>
        <v>#NAME?</v>
      </c>
      <c r="C9" s="17" t="e">
        <f ca="1">_xll.TR("GBP2YRR=","CF_LAST")</f>
        <v>#NAME?</v>
      </c>
      <c r="D9" s="17" t="e">
        <f ca="1">_xll.TR("GBP2YR10=","CF_LAST")</f>
        <v>#NAME?</v>
      </c>
      <c r="E9" s="17" t="e">
        <f ca="1">_xll.TR("GBP2YBF=","CF_LAST")</f>
        <v>#NAME?</v>
      </c>
      <c r="F9" s="17" t="e">
        <f ca="1">_xll.TR("GBP2YB10=","CF_LAST")</f>
        <v>#NAME?</v>
      </c>
    </row>
    <row r="10" spans="1:6" x14ac:dyDescent="0.3">
      <c r="A10" s="22" t="s">
        <v>6</v>
      </c>
      <c r="B10" s="17" t="e">
        <f ca="1">_xll.TR("GBP3YO=","CF_LAST",)</f>
        <v>#NAME?</v>
      </c>
      <c r="C10" s="17" t="e">
        <f ca="1">_xll.TR("GBP3YRR=","CF_LAST")</f>
        <v>#NAME?</v>
      </c>
      <c r="D10" s="17" t="e">
        <f ca="1">_xll.TR("GBP3YR10=","CF_LAST")</f>
        <v>#NAME?</v>
      </c>
      <c r="E10" s="17" t="e">
        <f ca="1">_xll.TR("GBP3YBF=","CF_LAST")</f>
        <v>#NAME?</v>
      </c>
      <c r="F10" s="17" t="e">
        <f ca="1">_xll.TR("GBP3YB10=","CF_LAST")</f>
        <v>#NAME?</v>
      </c>
    </row>
    <row r="11" spans="1:6" x14ac:dyDescent="0.3">
      <c r="A11" s="22" t="s">
        <v>10</v>
      </c>
      <c r="B11" s="17" t="e">
        <f ca="1">_xll.TR("GBP5YO=","CF_LAST")</f>
        <v>#NAME?</v>
      </c>
      <c r="C11" s="17" t="e">
        <f ca="1">_xll.TR("GBP5YRR=","CF_LAST")</f>
        <v>#NAME?</v>
      </c>
      <c r="D11" s="17" t="e">
        <f ca="1">_xll.TR("GBP5YR10=","CF_LAST")</f>
        <v>#NAME?</v>
      </c>
      <c r="E11" s="17" t="e">
        <f ca="1">_xll.TR("GBP5YBF=","CF_LAST")</f>
        <v>#NAME?</v>
      </c>
      <c r="F11" s="17" t="e">
        <f ca="1">_xll.TR("GBP5YB10=","CF_LAST")</f>
        <v>#NAME?</v>
      </c>
    </row>
    <row r="12" spans="1:6" x14ac:dyDescent="0.3">
      <c r="A12" s="22" t="s">
        <v>11</v>
      </c>
      <c r="B12" s="17" t="e">
        <f ca="1">_xll.TR("GBP10YO=","CF_LAST")</f>
        <v>#NAME?</v>
      </c>
      <c r="C12" s="17" t="e">
        <f ca="1">_xll.TR("GBP10YRR=","CF_LAST")</f>
        <v>#NAME?</v>
      </c>
      <c r="D12" s="17" t="e">
        <f ca="1">_xll.TR("GBP10YR10=","CF_LAST")</f>
        <v>#NAME?</v>
      </c>
      <c r="E12" s="17" t="e">
        <f ca="1">_xll.TR("GBP10YBF=","CF_LAST")</f>
        <v>#NAME?</v>
      </c>
      <c r="F12" s="17" t="e">
        <f ca="1">_xll.TR("GBP10YB10=","CF_LAST")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B83A6-A784-4E2E-9E7E-C0EDA905A63B}">
  <sheetPr codeName="Feuil39"/>
  <dimension ref="A1:G11"/>
  <sheetViews>
    <sheetView workbookViewId="0">
      <selection activeCell="C23" sqref="C23"/>
    </sheetView>
  </sheetViews>
  <sheetFormatPr baseColWidth="10" defaultRowHeight="14.4" x14ac:dyDescent="0.3"/>
  <cols>
    <col min="3" max="3" width="20.33203125" customWidth="1"/>
    <col min="4" max="4" width="23" customWidth="1"/>
    <col min="5" max="5" width="20" customWidth="1"/>
    <col min="6" max="6" width="21.44140625" customWidth="1"/>
  </cols>
  <sheetData>
    <row r="1" spans="1:7" x14ac:dyDescent="0.3">
      <c r="A1" s="18" t="s">
        <v>47</v>
      </c>
      <c r="B1" s="37" t="s">
        <v>46</v>
      </c>
      <c r="C1" s="19" t="s">
        <v>48</v>
      </c>
      <c r="D1" s="19" t="s">
        <v>50</v>
      </c>
      <c r="E1" s="19" t="s">
        <v>51</v>
      </c>
      <c r="F1" s="20" t="s">
        <v>52</v>
      </c>
    </row>
    <row r="2" spans="1:7" x14ac:dyDescent="0.3">
      <c r="A2" s="21" t="s">
        <v>49</v>
      </c>
      <c r="B2" s="33" t="e">
        <f ca="1">_xll.TR("CHFONO=","CF_LAST")</f>
        <v>#NAME?</v>
      </c>
      <c r="C2" s="17" t="e">
        <f ca="1">_xll.TR("CHFONRR=","CF_LAST")</f>
        <v>#NAME?</v>
      </c>
      <c r="D2" s="17" t="e">
        <f ca="1">_xll.TR("CHFONR10=","CF_LAST")</f>
        <v>#NAME?</v>
      </c>
      <c r="E2" s="17" t="e">
        <f ca="1">_xll.TR("CHFONBF=","CF_LAST")</f>
        <v>#NAME?</v>
      </c>
      <c r="F2" s="34" t="e">
        <f ca="1">_xll.TR("CHFONB10=","CF_LAST")</f>
        <v>#NAME?</v>
      </c>
    </row>
    <row r="3" spans="1:7" x14ac:dyDescent="0.3">
      <c r="A3" s="21" t="s">
        <v>0</v>
      </c>
      <c r="B3" s="17" t="e">
        <f ca="1">_xll.TR("CHFSWO=","CF_LAST")</f>
        <v>#NAME?</v>
      </c>
      <c r="C3" s="17" t="e">
        <f ca="1">_xll.TR("CHFSWRR=","CF_LAST")</f>
        <v>#NAME?</v>
      </c>
      <c r="D3" s="17" t="e">
        <f ca="1">_xll.TR("CHFSWR10=","CF_LAST")</f>
        <v>#NAME?</v>
      </c>
      <c r="E3" s="17" t="e">
        <f ca="1">_xll.TR("CHFSWBF=","CF_LAST")</f>
        <v>#NAME?</v>
      </c>
      <c r="F3" s="34" t="e">
        <f ca="1">_xll.TR("CHFSWB10=","CF_LAST")</f>
        <v>#NAME?</v>
      </c>
      <c r="G3" t="s">
        <v>20</v>
      </c>
    </row>
    <row r="4" spans="1:7" x14ac:dyDescent="0.3">
      <c r="A4" s="21" t="s">
        <v>1</v>
      </c>
      <c r="B4" s="17" t="e">
        <f ca="1">_xll.TR("CHF1MO=","CF_LAST")</f>
        <v>#NAME?</v>
      </c>
      <c r="C4" s="17" t="e">
        <f ca="1">_xll.TR("CHF1MRR=","CF_LAST")</f>
        <v>#NAME?</v>
      </c>
      <c r="D4" s="17" t="e">
        <f ca="1">_xll.TR("CHF1MR10=","CF_LAST")</f>
        <v>#NAME?</v>
      </c>
      <c r="E4" s="17" t="e">
        <f ca="1">_xll.TR("CHF1MBF=","CF_LAST")</f>
        <v>#NAME?</v>
      </c>
      <c r="F4" s="34" t="e">
        <f ca="1">_xll.TR("CHF1MB10=","CF_LAST")</f>
        <v>#NAME?</v>
      </c>
    </row>
    <row r="5" spans="1:7" x14ac:dyDescent="0.3">
      <c r="A5" s="21" t="s">
        <v>2</v>
      </c>
      <c r="B5" s="17" t="e">
        <f ca="1">_xll.TR("CHF2MO=","CF_LAST")</f>
        <v>#NAME?</v>
      </c>
      <c r="C5" s="17" t="e">
        <f ca="1">_xll.TR("CHF2MRR=","CF_LAST")</f>
        <v>#NAME?</v>
      </c>
      <c r="D5" s="17" t="e">
        <f ca="1">_xll.TR("CHF2MR10=","CF_LAST")</f>
        <v>#NAME?</v>
      </c>
      <c r="E5" s="17" t="e">
        <f ca="1">_xll.TR("CHF2MBF=","CF_LAST")</f>
        <v>#NAME?</v>
      </c>
      <c r="F5" s="34" t="e">
        <f ca="1">_xll.TR("CHF2MB10=","CF_LAST")</f>
        <v>#NAME?</v>
      </c>
    </row>
    <row r="6" spans="1:7" x14ac:dyDescent="0.3">
      <c r="A6" s="21" t="s">
        <v>3</v>
      </c>
      <c r="B6" s="17" t="e">
        <f ca="1">_xll.TR("CHF3MO=","CF_LAST")</f>
        <v>#NAME?</v>
      </c>
      <c r="C6" s="17" t="e">
        <f ca="1">_xll.TR("CHF3MRR=","CF_LAST")</f>
        <v>#NAME?</v>
      </c>
      <c r="D6" s="17" t="e">
        <f ca="1">_xll.TR("CHF3MR10=","CF_LAST")</f>
        <v>#NAME?</v>
      </c>
      <c r="E6" s="17" t="e">
        <f ca="1">_xll.TR("CHF3MBF=","CF_LAST")</f>
        <v>#NAME?</v>
      </c>
      <c r="F6" s="34" t="e">
        <f ca="1">_xll.TR("CHF3MB10=","CF_LAST")</f>
        <v>#NAME?</v>
      </c>
    </row>
    <row r="7" spans="1:7" x14ac:dyDescent="0.3">
      <c r="A7" s="21" t="s">
        <v>4</v>
      </c>
      <c r="B7" s="17" t="e">
        <f ca="1">_xll.TR("CHF1MO=","CF_LAST")</f>
        <v>#NAME?</v>
      </c>
      <c r="C7" s="17" t="e">
        <f ca="1">_xll.TR("CHF6MRR=","CF_LAST")</f>
        <v>#NAME?</v>
      </c>
      <c r="D7" s="17" t="e">
        <f ca="1">_xll.TR("CHF6MR10=","CF_LAST")</f>
        <v>#NAME?</v>
      </c>
      <c r="E7" s="17" t="e">
        <f ca="1">_xll.TR("CHF6MBF=","CF_LAST")</f>
        <v>#NAME?</v>
      </c>
      <c r="F7" s="34" t="e">
        <f ca="1">_xll.TR("CHF6MB10=","CF_LAST")</f>
        <v>#NAME?</v>
      </c>
    </row>
    <row r="8" spans="1:7" x14ac:dyDescent="0.3">
      <c r="A8" s="21" t="s">
        <v>5</v>
      </c>
      <c r="B8" s="17" t="e">
        <f ca="1">_xll.TR("CHF1YO=","CF_LAST")</f>
        <v>#NAME?</v>
      </c>
      <c r="C8" s="17" t="e">
        <f ca="1">_xll.TR("CHF1YRR=","CF_LAST")</f>
        <v>#NAME?</v>
      </c>
      <c r="D8" s="17" t="e">
        <f ca="1">_xll.TR("CHF1YR10=","CF_LAST")</f>
        <v>#NAME?</v>
      </c>
      <c r="E8" s="17" t="e">
        <f ca="1">_xll.TR("CHF1YBF=","CF_LAST")</f>
        <v>#NAME?</v>
      </c>
      <c r="F8" s="34" t="e">
        <f ca="1">_xll.TR("CHF1YB10=","CF_LAST")</f>
        <v>#NAME?</v>
      </c>
    </row>
    <row r="9" spans="1:7" x14ac:dyDescent="0.3">
      <c r="A9" s="52" t="s">
        <v>9</v>
      </c>
      <c r="B9" s="53" t="e">
        <f ca="1">_xll.TR("CHF2YO=","CF_LAST")</f>
        <v>#NAME?</v>
      </c>
      <c r="C9" s="53" t="e">
        <f ca="1">_xll.TR("CHF2YRR=","CF_LAST")</f>
        <v>#NAME?</v>
      </c>
      <c r="D9" s="53" t="e">
        <f ca="1">_xll.TR("CHF2YR10=","CF_LAST")</f>
        <v>#NAME?</v>
      </c>
      <c r="E9" s="53" t="e">
        <f ca="1">_xll.TR("CHF2YBF=","CF_LAST")</f>
        <v>#NAME?</v>
      </c>
      <c r="F9" s="54" t="e">
        <f ca="1">_xll.TR("CHF2YB10=","CF_LAST")</f>
        <v>#NAME?</v>
      </c>
    </row>
    <row r="10" spans="1:7" x14ac:dyDescent="0.3">
      <c r="A10" s="22" t="s">
        <v>6</v>
      </c>
      <c r="B10" s="17" t="e">
        <f ca="1">_xll.TR("CHF3YO=","CF_LAST")</f>
        <v>#NAME?</v>
      </c>
      <c r="C10" s="17" t="e">
        <f ca="1">_xll.TR("CHF3YRR=","CF_LAST")</f>
        <v>#NAME?</v>
      </c>
      <c r="D10" s="17" t="e">
        <f ca="1">_xll.TR("CHF2YR10=","CF_LAST")</f>
        <v>#NAME?</v>
      </c>
      <c r="E10" s="17" t="e">
        <f ca="1">_xll.TR("CHF3YBF=","CF_LAST")</f>
        <v>#NAME?</v>
      </c>
      <c r="F10" s="17" t="e">
        <f ca="1">_xll.TR("CHF3YB10=","CF_LAST")</f>
        <v>#NAME?</v>
      </c>
    </row>
    <row r="11" spans="1:7" x14ac:dyDescent="0.3">
      <c r="A11" s="22" t="s">
        <v>10</v>
      </c>
      <c r="B11" s="17" t="e">
        <f ca="1">_xll.TR("CHF5YO=","CF_LAST")</f>
        <v>#NAME?</v>
      </c>
      <c r="C11" s="17" t="e">
        <f ca="1">_xll.TR("CHF2YRR=","CF_LAST")</f>
        <v>#NAME?</v>
      </c>
      <c r="D11" s="17" t="e">
        <f ca="1">_xll.TR("CHF2YR10=","CF_LAST")</f>
        <v>#NAME?</v>
      </c>
      <c r="E11" s="17" t="e">
        <f ca="1">_xll.TR("CHF5YBF=","CF_LAST")</f>
        <v>#NAME?</v>
      </c>
      <c r="F11" s="17" t="e">
        <f ca="1">_xll.TR("CHF5YB10=","CF_LAST")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C434-158F-4804-A841-B2D09D060EA1}">
  <sheetPr codeName="Feuil40"/>
  <dimension ref="A1:F11"/>
  <sheetViews>
    <sheetView workbookViewId="0">
      <selection activeCell="K14" sqref="K14"/>
    </sheetView>
  </sheetViews>
  <sheetFormatPr baseColWidth="10" defaultRowHeight="14.4" x14ac:dyDescent="0.3"/>
  <cols>
    <col min="3" max="3" width="19.109375" customWidth="1"/>
    <col min="4" max="4" width="21.44140625" customWidth="1"/>
    <col min="5" max="5" width="15.33203125" customWidth="1"/>
    <col min="6" max="6" width="16" customWidth="1"/>
  </cols>
  <sheetData>
    <row r="1" spans="1:6" x14ac:dyDescent="0.3">
      <c r="A1" s="22" t="s">
        <v>47</v>
      </c>
      <c r="B1" s="55" t="s">
        <v>46</v>
      </c>
      <c r="C1" s="22" t="s">
        <v>48</v>
      </c>
      <c r="D1" s="22" t="s">
        <v>50</v>
      </c>
      <c r="E1" s="22" t="s">
        <v>51</v>
      </c>
      <c r="F1" s="22" t="s">
        <v>52</v>
      </c>
    </row>
    <row r="2" spans="1:6" x14ac:dyDescent="0.3">
      <c r="A2" s="22" t="s">
        <v>49</v>
      </c>
      <c r="B2" s="33" t="e">
        <f ca="1">_xll.TR("CADONO=","CF_LAST")</f>
        <v>#NAME?</v>
      </c>
      <c r="C2" s="17" t="e">
        <f ca="1">_xll.TR("CADONRR=","CF_LAST")</f>
        <v>#NAME?</v>
      </c>
      <c r="D2" s="17" t="e">
        <f ca="1">_xll.TR("CADONR10=","CF_LAST")</f>
        <v>#NAME?</v>
      </c>
      <c r="E2" s="17" t="e">
        <f ca="1">_xll.TR("CADONBF=","CF_LAST")</f>
        <v>#NAME?</v>
      </c>
      <c r="F2" s="17" t="e">
        <f ca="1">_xll.TR("CADONB10=","CF_LAST")</f>
        <v>#NAME?</v>
      </c>
    </row>
    <row r="3" spans="1:6" x14ac:dyDescent="0.3">
      <c r="A3" s="22" t="s">
        <v>0</v>
      </c>
      <c r="B3" s="17" t="e">
        <f ca="1">_xll.TR("CADSWO=","CF_LAST")</f>
        <v>#NAME?</v>
      </c>
      <c r="C3" s="17" t="e">
        <f ca="1">_xll.TR("CADSWRR=","CF_LAST")</f>
        <v>#NAME?</v>
      </c>
      <c r="D3" s="17" t="e">
        <f ca="1">_xll.TR("CADSWR10=","CF_LAST")</f>
        <v>#NAME?</v>
      </c>
      <c r="E3" s="17" t="e">
        <f ca="1">_xll.TR("CADSWBF=","CF_LAST")</f>
        <v>#NAME?</v>
      </c>
      <c r="F3" s="17" t="e">
        <f ca="1">_xll.TR("CADSWB10=","CF_LAST")</f>
        <v>#NAME?</v>
      </c>
    </row>
    <row r="4" spans="1:6" x14ac:dyDescent="0.3">
      <c r="A4" s="22" t="s">
        <v>1</v>
      </c>
      <c r="B4" s="17" t="e">
        <f ca="1">_xll.TR("CAD1MO=","CF_LAST")</f>
        <v>#NAME?</v>
      </c>
      <c r="C4" s="17" t="e">
        <f ca="1">_xll.TR("CAD1MRR=","CF_LAST")</f>
        <v>#NAME?</v>
      </c>
      <c r="D4" s="17" t="e">
        <f ca="1">_xll.TR("CAD1MR10=","CF_LAST")</f>
        <v>#NAME?</v>
      </c>
      <c r="E4" s="17" t="e">
        <f ca="1">_xll.TR("CAD1MBF=","CF_LAST")</f>
        <v>#NAME?</v>
      </c>
      <c r="F4" s="17" t="e">
        <f ca="1">_xll.TR("CAD1MB10=","CF_LAST")</f>
        <v>#NAME?</v>
      </c>
    </row>
    <row r="5" spans="1:6" x14ac:dyDescent="0.3">
      <c r="A5" s="22" t="s">
        <v>2</v>
      </c>
      <c r="B5" s="17" t="e">
        <f ca="1">_xll.TR("CAD2MO=","CF_LAST")</f>
        <v>#NAME?</v>
      </c>
      <c r="C5" s="17" t="e">
        <f ca="1">_xll.TR("CAD2MRR=","CF_LAST")</f>
        <v>#NAME?</v>
      </c>
      <c r="D5" s="17" t="e">
        <f ca="1">_xll.TR("CAD2MR10=","CF_LAST")</f>
        <v>#NAME?</v>
      </c>
      <c r="E5" s="17" t="e">
        <f ca="1">_xll.TR("CAD2MBF=","CF_LAST")</f>
        <v>#NAME?</v>
      </c>
      <c r="F5" s="17" t="e">
        <f ca="1">_xll.TR("CAD2MB10=","CF_LAST")</f>
        <v>#NAME?</v>
      </c>
    </row>
    <row r="6" spans="1:6" x14ac:dyDescent="0.3">
      <c r="A6" s="22" t="s">
        <v>3</v>
      </c>
      <c r="B6" s="17" t="e">
        <f ca="1">_xll.TR("CAD3MO=","CF_LAST")</f>
        <v>#NAME?</v>
      </c>
      <c r="C6" s="17" t="e">
        <f ca="1">_xll.TR("CAD3MRR=","CF_LAST")</f>
        <v>#NAME?</v>
      </c>
      <c r="D6" s="17" t="e">
        <f ca="1">_xll.TR("CAD3MR10=","CF_LAST")</f>
        <v>#NAME?</v>
      </c>
      <c r="E6" s="17" t="e">
        <f ca="1">_xll.TR("CAD3MBF=","CF_LAST")</f>
        <v>#NAME?</v>
      </c>
      <c r="F6" s="17" t="e">
        <f ca="1">_xll.TR("CAD3MB10=","CF_LAST")</f>
        <v>#NAME?</v>
      </c>
    </row>
    <row r="7" spans="1:6" x14ac:dyDescent="0.3">
      <c r="A7" s="22" t="s">
        <v>4</v>
      </c>
      <c r="B7" s="17" t="e">
        <f ca="1">_xll.TR("CAD1MO=","CF_LAST")</f>
        <v>#NAME?</v>
      </c>
      <c r="C7" s="17" t="e">
        <f ca="1">_xll.TR("CAD6MRR=","CF_LAST")</f>
        <v>#NAME?</v>
      </c>
      <c r="D7" s="17" t="e">
        <f ca="1">_xll.TR("CAD6MR10=","CF_LAST")</f>
        <v>#NAME?</v>
      </c>
      <c r="E7" s="17" t="e">
        <f ca="1">_xll.TR("CAD6MBF=","CF_LAST")</f>
        <v>#NAME?</v>
      </c>
      <c r="F7" s="17" t="e">
        <f ca="1">_xll.TR("CAD6MB10=","CF_LAST")</f>
        <v>#NAME?</v>
      </c>
    </row>
    <row r="8" spans="1:6" x14ac:dyDescent="0.3">
      <c r="A8" s="22" t="s">
        <v>5</v>
      </c>
      <c r="B8" s="17" t="e">
        <f ca="1">_xll.TR("CAD1YO=","CF_LAST")</f>
        <v>#NAME?</v>
      </c>
      <c r="C8" s="17" t="e">
        <f ca="1">_xll.TR("CAD1YRR=","CF_LAST")</f>
        <v>#NAME?</v>
      </c>
      <c r="D8" s="17" t="e">
        <f ca="1">_xll.TR("CAD1YR10=","CF_LAST")</f>
        <v>#NAME?</v>
      </c>
      <c r="E8" s="17" t="e">
        <f ca="1">_xll.TR("CAD1YBF=","CF_LAST")</f>
        <v>#NAME?</v>
      </c>
      <c r="F8" s="17" t="e">
        <f ca="1">_xll.TR("CAD1YB10=","CF_LAST")</f>
        <v>#NAME?</v>
      </c>
    </row>
    <row r="9" spans="1:6" x14ac:dyDescent="0.3">
      <c r="A9" s="22" t="s">
        <v>9</v>
      </c>
      <c r="B9" s="17" t="e">
        <f ca="1">_xll.TR("CAD2YO=","CF_LAST")</f>
        <v>#NAME?</v>
      </c>
      <c r="C9" s="17" t="e">
        <f ca="1">_xll.TR("CAD2YRR=","CF_LAST")</f>
        <v>#NAME?</v>
      </c>
      <c r="D9" s="17" t="e">
        <f ca="1">_xll.TR("CAD2YR10=","CF_LAST")</f>
        <v>#NAME?</v>
      </c>
      <c r="E9" s="17" t="e">
        <f ca="1">_xll.TR("CAD2YBF=","CF_LAST")</f>
        <v>#NAME?</v>
      </c>
      <c r="F9" s="17" t="e">
        <f ca="1">_xll.TR("CAD2YB10=","CF_LAST")</f>
        <v>#NAME?</v>
      </c>
    </row>
    <row r="10" spans="1:6" x14ac:dyDescent="0.3">
      <c r="A10" s="22" t="s">
        <v>6</v>
      </c>
      <c r="B10" s="17" t="e">
        <f ca="1">_xll.TR("CAD3YO=","CF_LAST")</f>
        <v>#NAME?</v>
      </c>
      <c r="C10" s="17" t="e">
        <f ca="1">_xll.TR("CAD3YRR=","CF_LAST")</f>
        <v>#NAME?</v>
      </c>
      <c r="D10" s="17" t="e">
        <f ca="1">_xll.TR("CAD3YR10=","CF_LAST")</f>
        <v>#NAME?</v>
      </c>
      <c r="E10" s="17" t="e">
        <f ca="1">_xll.TR("CAD3YBF=","CF_LAST")</f>
        <v>#NAME?</v>
      </c>
      <c r="F10" s="17" t="e">
        <f ca="1">_xll.TR("CAD3YB10=","CF_LAST")</f>
        <v>#NAME?</v>
      </c>
    </row>
    <row r="11" spans="1:6" x14ac:dyDescent="0.3">
      <c r="A11" s="22" t="s">
        <v>10</v>
      </c>
      <c r="B11" s="17" t="e">
        <f ca="1">_xll.TR("CAD5YO=","CF_LAST")</f>
        <v>#NAME?</v>
      </c>
      <c r="C11" s="17" t="e">
        <f ca="1">_xll.TR("CAD5YRR=","CF_LAST")</f>
        <v>#NAME?</v>
      </c>
      <c r="D11" s="17" t="e">
        <f ca="1">_xll.TR("CAD5YR10=","CF_LAST")</f>
        <v>#NAME?</v>
      </c>
      <c r="E11" s="17" t="e">
        <f ca="1">_xll.TR("CAD5YBF=","CF_LAST")</f>
        <v>#NAME?</v>
      </c>
      <c r="F11" s="17" t="e">
        <f ca="1">_xll.TR("CAD5YB10=","CF_LAST")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9D532-EC01-4A0F-87CB-66118F0FE9A2}">
  <sheetPr codeName="Feuil41"/>
  <dimension ref="A1:F12"/>
  <sheetViews>
    <sheetView workbookViewId="0">
      <selection activeCell="C20" sqref="C20"/>
    </sheetView>
  </sheetViews>
  <sheetFormatPr baseColWidth="10" defaultRowHeight="14.4" x14ac:dyDescent="0.3"/>
  <cols>
    <col min="3" max="3" width="19" customWidth="1"/>
    <col min="4" max="4" width="21.77734375" customWidth="1"/>
    <col min="5" max="5" width="17.6640625" customWidth="1"/>
    <col min="6" max="6" width="20.21875" customWidth="1"/>
  </cols>
  <sheetData>
    <row r="1" spans="1:6" x14ac:dyDescent="0.3">
      <c r="A1" s="18" t="s">
        <v>47</v>
      </c>
      <c r="B1" s="37" t="s">
        <v>46</v>
      </c>
      <c r="C1" s="19" t="s">
        <v>48</v>
      </c>
      <c r="D1" s="19" t="s">
        <v>50</v>
      </c>
      <c r="E1" s="19" t="s">
        <v>51</v>
      </c>
      <c r="F1" s="20" t="s">
        <v>52</v>
      </c>
    </row>
    <row r="2" spans="1:6" x14ac:dyDescent="0.3">
      <c r="A2" s="21" t="s">
        <v>49</v>
      </c>
      <c r="B2" s="33" t="e">
        <f ca="1">_xll.TR("JPYONO=","CF_LAST")</f>
        <v>#NAME?</v>
      </c>
      <c r="C2" s="17" t="e">
        <f ca="1">_xll.TR("JPYONRR=","CF_LAST")</f>
        <v>#NAME?</v>
      </c>
      <c r="D2" s="17" t="e">
        <f ca="1">_xll.TR("JPYONR10=","CF_LAST")</f>
        <v>#NAME?</v>
      </c>
      <c r="E2" s="17" t="e">
        <f ca="1">_xll.TR("JPYONBF=","CF_LAST")</f>
        <v>#NAME?</v>
      </c>
      <c r="F2" s="34" t="e">
        <f ca="1">_xll.TR("JPYONB10=","CF_LAST")</f>
        <v>#NAME?</v>
      </c>
    </row>
    <row r="3" spans="1:6" x14ac:dyDescent="0.3">
      <c r="A3" s="21" t="s">
        <v>0</v>
      </c>
      <c r="B3" s="17" t="e">
        <f ca="1">_xll.TR("JPYSWO=","CF_LAST")</f>
        <v>#NAME?</v>
      </c>
      <c r="C3" s="17" t="e">
        <f ca="1">_xll.TR("JPYSWRR=","CF_LAST")</f>
        <v>#NAME?</v>
      </c>
      <c r="D3" s="17" t="e">
        <f ca="1">_xll.TR("JPYSWR10=","CF_LAST")</f>
        <v>#NAME?</v>
      </c>
      <c r="E3" s="17" t="e">
        <f ca="1">_xll.TR("JPYSWBF=","CF_LAST")</f>
        <v>#NAME?</v>
      </c>
      <c r="F3" s="34" t="e">
        <f ca="1">_xll.TR("JPYSWB10=","CF_LAST")</f>
        <v>#NAME?</v>
      </c>
    </row>
    <row r="4" spans="1:6" x14ac:dyDescent="0.3">
      <c r="A4" s="21" t="s">
        <v>1</v>
      </c>
      <c r="B4" s="17" t="e">
        <f ca="1">_xll.TR("JPY1MO=","CF_LAST")</f>
        <v>#NAME?</v>
      </c>
      <c r="C4" s="17" t="e">
        <f ca="1">_xll.TR("JPY1MRR=","CF_LAST")</f>
        <v>#NAME?</v>
      </c>
      <c r="D4" s="17" t="e">
        <f ca="1">_xll.TR("JPY1MR10=","CF_LAST")</f>
        <v>#NAME?</v>
      </c>
      <c r="E4" s="17" t="e">
        <f ca="1">_xll.TR("JPY1MBF=","CF_LAST")</f>
        <v>#NAME?</v>
      </c>
      <c r="F4" s="34" t="e">
        <f ca="1">_xll.TR("JPY1MB10=","CF_LAST")</f>
        <v>#NAME?</v>
      </c>
    </row>
    <row r="5" spans="1:6" x14ac:dyDescent="0.3">
      <c r="A5" s="21" t="s">
        <v>2</v>
      </c>
      <c r="B5" s="17" t="e">
        <f ca="1">_xll.TR("JPY2MO=","CF_LAST")</f>
        <v>#NAME?</v>
      </c>
      <c r="C5" s="17" t="e">
        <f ca="1">_xll.TR("JPY2MRR=","CF_LAST")</f>
        <v>#NAME?</v>
      </c>
      <c r="D5" s="17" t="e">
        <f ca="1">_xll.TR("JPY2MR10=","CF_LAST")</f>
        <v>#NAME?</v>
      </c>
      <c r="E5" s="17" t="e">
        <f ca="1">_xll.TR("JPY2MBF=","CF_LAST")</f>
        <v>#NAME?</v>
      </c>
      <c r="F5" s="34" t="e">
        <f ca="1">_xll.TR("JPY2MB10=","CF_LAST")</f>
        <v>#NAME?</v>
      </c>
    </row>
    <row r="6" spans="1:6" x14ac:dyDescent="0.3">
      <c r="A6" s="21" t="s">
        <v>3</v>
      </c>
      <c r="B6" s="17" t="e">
        <f ca="1">_xll.TR("JPY3MO=","CF_LAST")</f>
        <v>#NAME?</v>
      </c>
      <c r="C6" s="17" t="e">
        <f ca="1">_xll.TR("JPY3MRR=","CF_LAST")</f>
        <v>#NAME?</v>
      </c>
      <c r="D6" s="17" t="e">
        <f ca="1">_xll.TR("JPY3MR10=","CF_LAST")</f>
        <v>#NAME?</v>
      </c>
      <c r="E6" s="17" t="e">
        <f ca="1">_xll.TR("JPY3MBF=","CF_LAST")</f>
        <v>#NAME?</v>
      </c>
      <c r="F6" s="34" t="e">
        <f ca="1">_xll.TR("JPY3MB10=","CF_LAST")</f>
        <v>#NAME?</v>
      </c>
    </row>
    <row r="7" spans="1:6" x14ac:dyDescent="0.3">
      <c r="A7" s="21" t="s">
        <v>4</v>
      </c>
      <c r="B7" s="17" t="e">
        <f ca="1">_xll.TR("JPY1MO=","CF_LAST")</f>
        <v>#NAME?</v>
      </c>
      <c r="C7" s="17" t="e">
        <f ca="1">_xll.TR("JPY6MRR=","CF_LAST")</f>
        <v>#NAME?</v>
      </c>
      <c r="D7" s="17" t="e">
        <f ca="1">_xll.TR("JPY6MR10=","CF_LAST")</f>
        <v>#NAME?</v>
      </c>
      <c r="E7" s="17" t="e">
        <f ca="1">_xll.TR("JPY6MBF=","CF_LAST")</f>
        <v>#NAME?</v>
      </c>
      <c r="F7" s="34" t="e">
        <f ca="1">_xll.TR("JPY6MB10=","CF_LAST")</f>
        <v>#NAME?</v>
      </c>
    </row>
    <row r="8" spans="1:6" x14ac:dyDescent="0.3">
      <c r="A8" s="21" t="s">
        <v>5</v>
      </c>
      <c r="B8" s="17" t="e">
        <f ca="1">_xll.TR("JPY1YO=","CF_LAST")</f>
        <v>#NAME?</v>
      </c>
      <c r="C8" s="17" t="e">
        <f ca="1">_xll.TR("JPY1YRR=","CF_LAST")</f>
        <v>#NAME?</v>
      </c>
      <c r="D8" s="17" t="e">
        <f ca="1">_xll.TR("JPY1YR10=","CF_LAST")</f>
        <v>#NAME?</v>
      </c>
      <c r="E8" s="17" t="e">
        <f ca="1">_xll.TR("JPY1YBF=","CF_LAST")</f>
        <v>#NAME?</v>
      </c>
      <c r="F8" s="34" t="e">
        <f ca="1">_xll.TR("JPY1YB10=","CF_LAST")</f>
        <v>#NAME?</v>
      </c>
    </row>
    <row r="9" spans="1:6" ht="15" thickBot="1" x14ac:dyDescent="0.35">
      <c r="A9" s="52" t="s">
        <v>9</v>
      </c>
      <c r="B9" s="35" t="e">
        <f ca="1">_xll.TR("JPY2YO=","CF_LAST")</f>
        <v>#NAME?</v>
      </c>
      <c r="C9" s="35" t="e">
        <f ca="1">_xll.TR("JPY2YRR=","CF_LAST")</f>
        <v>#NAME?</v>
      </c>
      <c r="D9" s="35" t="e">
        <f ca="1">_xll.TR("JPY2YR10=","CF_LAST")</f>
        <v>#NAME?</v>
      </c>
      <c r="E9" s="35" t="e">
        <f ca="1">_xll.TR("JPY2YBF=","CF_LAST")</f>
        <v>#NAME?</v>
      </c>
      <c r="F9" s="36" t="e">
        <f ca="1">_xll.TR("JPY2YB10=","CF_LAST")</f>
        <v>#NAME?</v>
      </c>
    </row>
    <row r="10" spans="1:6" ht="15" thickBot="1" x14ac:dyDescent="0.35">
      <c r="A10" s="22" t="s">
        <v>6</v>
      </c>
      <c r="B10" s="35" t="e">
        <f ca="1">_xll.TR("JPY3YO=","CF_LAST")</f>
        <v>#NAME?</v>
      </c>
      <c r="C10" s="35" t="e">
        <f ca="1">_xll.TR("JPY3YRR=","CF_LAST")</f>
        <v>#NAME?</v>
      </c>
      <c r="D10" s="35" t="e">
        <f ca="1">_xll.TR("JPY3YR10=","CF_LAST")</f>
        <v>#NAME?</v>
      </c>
      <c r="E10" s="35" t="e">
        <f ca="1">_xll.TR("JPY3YBF=","CF_LAST")</f>
        <v>#NAME?</v>
      </c>
      <c r="F10" s="36" t="e">
        <f ca="1">_xll.TR("JPY3YB10=","CF_LAST")</f>
        <v>#NAME?</v>
      </c>
    </row>
    <row r="11" spans="1:6" ht="15" thickBot="1" x14ac:dyDescent="0.35">
      <c r="A11" s="22" t="s">
        <v>10</v>
      </c>
      <c r="B11" s="35" t="e">
        <f ca="1">_xll.TR("JPY5YO=","CF_LAST")</f>
        <v>#NAME?</v>
      </c>
      <c r="C11" s="35" t="e">
        <f ca="1">_xll.TR("JPY5YRR=","CF_LAST")</f>
        <v>#NAME?</v>
      </c>
      <c r="D11" s="35" t="e">
        <f ca="1">_xll.TR("JPY5YR10=","CF_LAST")</f>
        <v>#NAME?</v>
      </c>
      <c r="E11" s="35" t="e">
        <f ca="1">_xll.TR("JPY5YBF=","CF_LAST")</f>
        <v>#NAME?</v>
      </c>
      <c r="F11" s="36" t="e">
        <f ca="1">_xll.TR("JPY5YB10=","CF_LAST")</f>
        <v>#NAME?</v>
      </c>
    </row>
    <row r="12" spans="1:6" ht="15" thickBot="1" x14ac:dyDescent="0.35">
      <c r="A12" s="22" t="s">
        <v>11</v>
      </c>
      <c r="B12" s="35" t="e">
        <f ca="1">_xll.TR("JPY10YO=","CF_LAST")</f>
        <v>#NAME?</v>
      </c>
      <c r="C12" s="35" t="e">
        <f ca="1">_xll.TR("JPY10YRR=","CF_LAST")</f>
        <v>#NAME?</v>
      </c>
      <c r="D12" s="35" t="e">
        <f ca="1">_xll.TR("JPY10YR10=","CF_LAST")</f>
        <v>#NAME?</v>
      </c>
      <c r="E12" s="35" t="e">
        <f ca="1">_xll.TR("JPY10YBF=","CF_LAST")</f>
        <v>#NAME?</v>
      </c>
      <c r="F12" s="36" t="e">
        <f ca="1">_xll.TR("JPY10YB10=","CF_LAST")</f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CFD4-7CFD-4706-BD9B-19E800BFEA44}">
  <sheetPr codeName="Feuil32"/>
  <dimension ref="A1:B6"/>
  <sheetViews>
    <sheetView workbookViewId="0">
      <selection activeCell="K26" sqref="K26"/>
    </sheetView>
  </sheetViews>
  <sheetFormatPr baseColWidth="10" defaultRowHeight="14.4" x14ac:dyDescent="0.3"/>
  <sheetData>
    <row r="1" spans="1:2" x14ac:dyDescent="0.3">
      <c r="A1" s="32" t="s">
        <v>12</v>
      </c>
      <c r="B1" s="32" t="s">
        <v>18</v>
      </c>
    </row>
    <row r="2" spans="1:2" x14ac:dyDescent="0.3">
      <c r="A2" s="17" t="s">
        <v>40</v>
      </c>
      <c r="B2" s="17" t="e">
        <f ca="1">_xll.TR("USDONFSR=","TRDPRC_1")</f>
        <v>#NAME?</v>
      </c>
    </row>
    <row r="3" spans="1:2" x14ac:dyDescent="0.3">
      <c r="A3" s="17" t="s">
        <v>41</v>
      </c>
      <c r="B3" s="17" t="e">
        <f ca="1">_xll.TR("USD1MFSR=","TRDPRC_1")</f>
        <v>#NAME?</v>
      </c>
    </row>
    <row r="4" spans="1:2" x14ac:dyDescent="0.3">
      <c r="A4" s="17" t="s">
        <v>42</v>
      </c>
      <c r="B4" s="17" t="e">
        <f ca="1">_xll.TR("USD3MFSR=","TRDPRC_1")</f>
        <v>#NAME?</v>
      </c>
    </row>
    <row r="5" spans="1:2" x14ac:dyDescent="0.3">
      <c r="A5" s="17" t="s">
        <v>43</v>
      </c>
      <c r="B5" s="17" t="e">
        <f ca="1">_xll.TR("USD6MFSR=","TRDPRC_1")</f>
        <v>#NAME?</v>
      </c>
    </row>
    <row r="6" spans="1:2" x14ac:dyDescent="0.3">
      <c r="A6" s="17" t="s">
        <v>44</v>
      </c>
      <c r="B6" s="17" t="e">
        <f ca="1">_xll.TR("USD1YFSR=","TRDPRC_1")</f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E6D7D-FC87-4820-8EE9-783C98B10551}">
  <sheetPr codeName="Feuil29"/>
  <dimension ref="A1:C10"/>
  <sheetViews>
    <sheetView workbookViewId="0">
      <selection activeCell="A2" sqref="A2"/>
    </sheetView>
  </sheetViews>
  <sheetFormatPr baseColWidth="10" defaultRowHeight="14.4" x14ac:dyDescent="0.3"/>
  <cols>
    <col min="2" max="2" width="15.88671875" customWidth="1"/>
  </cols>
  <sheetData>
    <row r="1" spans="1:3" x14ac:dyDescent="0.3">
      <c r="A1" s="32" t="s">
        <v>12</v>
      </c>
      <c r="B1" s="32" t="s">
        <v>17</v>
      </c>
    </row>
    <row r="2" spans="1:3" x14ac:dyDescent="0.3">
      <c r="A2" s="17" t="s">
        <v>0</v>
      </c>
      <c r="B2" s="17" t="e">
        <f ca="1">_xll.TR("EURIBORSWD=","TRDPRC_1")</f>
        <v>#NAME?</v>
      </c>
    </row>
    <row r="3" spans="1:3" x14ac:dyDescent="0.3">
      <c r="A3" s="17" t="s">
        <v>41</v>
      </c>
      <c r="B3" s="17" t="e">
        <f ca="1">_xll.TR("EURIBOR1MD=","TRDPRC_1")</f>
        <v>#NAME?</v>
      </c>
    </row>
    <row r="4" spans="1:3" x14ac:dyDescent="0.3">
      <c r="A4" s="17" t="s">
        <v>42</v>
      </c>
      <c r="B4" s="17" t="e">
        <f ca="1">_xll.TR("EURIBOR3MD=","TRDPRC_1")</f>
        <v>#NAME?</v>
      </c>
      <c r="C4" s="31"/>
    </row>
    <row r="5" spans="1:3" x14ac:dyDescent="0.3">
      <c r="A5" s="17" t="s">
        <v>43</v>
      </c>
      <c r="B5" s="17" t="e">
        <f ca="1">_xll.TR("EURIBOR6MD=","TRDPRC_1")</f>
        <v>#NAME?</v>
      </c>
      <c r="C5" s="31"/>
    </row>
    <row r="6" spans="1:3" x14ac:dyDescent="0.3">
      <c r="A6" s="17" t="s">
        <v>44</v>
      </c>
      <c r="B6" s="17" t="e">
        <f ca="1">_xll.TR("EURIBOR1YD=","TRDPRC_1")</f>
        <v>#NAME?</v>
      </c>
      <c r="C6" s="31"/>
    </row>
    <row r="7" spans="1:3" x14ac:dyDescent="0.3">
      <c r="C7" s="31"/>
    </row>
    <row r="8" spans="1:3" x14ac:dyDescent="0.3">
      <c r="B8" s="31"/>
      <c r="C8" s="31"/>
    </row>
    <row r="9" spans="1:3" x14ac:dyDescent="0.3">
      <c r="B9" s="31"/>
      <c r="C9" s="31"/>
    </row>
    <row r="10" spans="1:3" x14ac:dyDescent="0.3">
      <c r="B10" s="3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B62E2-CF49-4E74-B1DC-F9402E9C6734}">
  <sheetPr codeName="Feuil42"/>
  <dimension ref="A1:B6"/>
  <sheetViews>
    <sheetView workbookViewId="0">
      <selection activeCell="G22" sqref="G22"/>
    </sheetView>
  </sheetViews>
  <sheetFormatPr baseColWidth="10" defaultRowHeight="14.4" x14ac:dyDescent="0.3"/>
  <sheetData>
    <row r="1" spans="1:2" x14ac:dyDescent="0.3">
      <c r="A1" s="56" t="s">
        <v>12</v>
      </c>
      <c r="B1" s="56" t="s">
        <v>13</v>
      </c>
    </row>
    <row r="2" spans="1:2" x14ac:dyDescent="0.3">
      <c r="A2" s="26" t="s">
        <v>41</v>
      </c>
      <c r="B2" s="26" t="e">
        <f ca="1">_xll.TR("CAD1MOIS=","CF_LAST")</f>
        <v>#NAME?</v>
      </c>
    </row>
    <row r="3" spans="1:2" x14ac:dyDescent="0.3">
      <c r="A3" s="26" t="s">
        <v>54</v>
      </c>
      <c r="B3" s="26" t="e">
        <f ca="1">_xll.TR("CAD2MOIS=","CF_LAST")</f>
        <v>#NAME?</v>
      </c>
    </row>
    <row r="4" spans="1:2" x14ac:dyDescent="0.3">
      <c r="A4" s="26" t="s">
        <v>42</v>
      </c>
      <c r="B4" s="26" t="e">
        <f ca="1">_xll.TR("CAD3MOIS=","CF_LAST")</f>
        <v>#NAME?</v>
      </c>
    </row>
    <row r="5" spans="1:2" x14ac:dyDescent="0.3">
      <c r="A5" s="26" t="s">
        <v>43</v>
      </c>
      <c r="B5" s="26" t="e">
        <f ca="1">_xll.TR("CAD6MOIS=","CF_LAST")</f>
        <v>#NAME?</v>
      </c>
    </row>
    <row r="6" spans="1:2" x14ac:dyDescent="0.3">
      <c r="A6" s="26" t="s">
        <v>44</v>
      </c>
      <c r="B6" s="26" t="e">
        <f ca="1">_xll.TR("CAD1YOIS=","CF_LAST")</f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96ABB-407F-4D11-B4F0-B3AA58FFA45D}">
  <sheetPr codeName="Feuil30"/>
  <dimension ref="A1:B10"/>
  <sheetViews>
    <sheetView workbookViewId="0">
      <selection activeCell="B1" sqref="B1"/>
    </sheetView>
  </sheetViews>
  <sheetFormatPr baseColWidth="10" defaultRowHeight="14.4" x14ac:dyDescent="0.3"/>
  <sheetData>
    <row r="1" spans="1:2" x14ac:dyDescent="0.3">
      <c r="A1" s="32" t="s">
        <v>12</v>
      </c>
      <c r="B1" s="32" t="s">
        <v>16</v>
      </c>
    </row>
    <row r="2" spans="1:2" x14ac:dyDescent="0.3">
      <c r="A2" s="17" t="s">
        <v>45</v>
      </c>
      <c r="B2" s="17" t="e">
        <f ca="1">_xll.TR("GBP1MFSR=","TRDPRC_1")</f>
        <v>#NAME?</v>
      </c>
    </row>
    <row r="3" spans="1:2" x14ac:dyDescent="0.3">
      <c r="A3" s="17" t="s">
        <v>42</v>
      </c>
      <c r="B3" s="17" t="e">
        <f ca="1">_xll.TR("GBP3MFSR=","TRDPRC_1")</f>
        <v>#NAME?</v>
      </c>
    </row>
    <row r="4" spans="1:2" x14ac:dyDescent="0.3">
      <c r="A4" s="17" t="s">
        <v>43</v>
      </c>
      <c r="B4" s="17" t="e">
        <f ca="1">_xll.TR("GBP6MFSR=","TRDPRC_1")</f>
        <v>#NAME?</v>
      </c>
    </row>
    <row r="6" spans="1:2" x14ac:dyDescent="0.3">
      <c r="B6" s="31"/>
    </row>
    <row r="7" spans="1:2" x14ac:dyDescent="0.3">
      <c r="B7" s="31"/>
    </row>
    <row r="8" spans="1:2" x14ac:dyDescent="0.3">
      <c r="B8" s="31"/>
    </row>
    <row r="9" spans="1:2" x14ac:dyDescent="0.3">
      <c r="B9" s="31"/>
    </row>
    <row r="10" spans="1:2" x14ac:dyDescent="0.3">
      <c r="B10" s="3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213D-D416-4886-992C-390503B6DBCF}">
  <sheetPr codeName="Feuil43"/>
  <dimension ref="A1:B8"/>
  <sheetViews>
    <sheetView workbookViewId="0">
      <selection activeCell="B3" sqref="B3"/>
    </sheetView>
  </sheetViews>
  <sheetFormatPr baseColWidth="10" defaultRowHeight="14.4" x14ac:dyDescent="0.3"/>
  <sheetData>
    <row r="1" spans="1:2" x14ac:dyDescent="0.3">
      <c r="A1" s="56" t="s">
        <v>12</v>
      </c>
      <c r="B1" s="56" t="s">
        <v>14</v>
      </c>
    </row>
    <row r="2" spans="1:2" x14ac:dyDescent="0.3">
      <c r="A2" s="58" t="s">
        <v>0</v>
      </c>
      <c r="B2" s="59" t="e">
        <f ca="1">_xll.TR("CHFSWOIS=","CF_LAST")</f>
        <v>#NAME?</v>
      </c>
    </row>
    <row r="3" spans="1:2" x14ac:dyDescent="0.3">
      <c r="A3" s="58" t="s">
        <v>55</v>
      </c>
      <c r="B3" s="59" t="e">
        <f ca="1">_xll.TR("CHF2WOIS=","CF_LAST")</f>
        <v>#NAME?</v>
      </c>
    </row>
    <row r="4" spans="1:2" x14ac:dyDescent="0.3">
      <c r="A4" s="57" t="s">
        <v>41</v>
      </c>
      <c r="B4" s="57" t="e">
        <f ca="1">_xll.TR("CHF1MOIS=","CF_LAST")</f>
        <v>#NAME?</v>
      </c>
    </row>
    <row r="5" spans="1:2" x14ac:dyDescent="0.3">
      <c r="A5" s="57" t="s">
        <v>54</v>
      </c>
      <c r="B5" s="57" t="e">
        <f ca="1">_xll.TR("CHF2MOIS=","CF_LAST")</f>
        <v>#NAME?</v>
      </c>
    </row>
    <row r="6" spans="1:2" x14ac:dyDescent="0.3">
      <c r="A6" s="57" t="s">
        <v>42</v>
      </c>
      <c r="B6" s="57" t="e">
        <f ca="1">_xll.TR("CHF3MOIS=","CF_LAST")</f>
        <v>#NAME?</v>
      </c>
    </row>
    <row r="7" spans="1:2" x14ac:dyDescent="0.3">
      <c r="A7" s="57" t="s">
        <v>43</v>
      </c>
      <c r="B7" s="57" t="e">
        <f ca="1">_xll.TR("CHF6MOIS=","CF_LAST")</f>
        <v>#NAME?</v>
      </c>
    </row>
    <row r="8" spans="1:2" x14ac:dyDescent="0.3">
      <c r="A8" s="57" t="s">
        <v>44</v>
      </c>
      <c r="B8" s="57" t="e">
        <f ca="1">_xll.TR("CHF1YOIS=","CF_LAST")</f>
        <v>#NAME?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BEAFD-CC54-4B7E-9026-F672A29049D3}">
  <sheetPr codeName="Feuil44"/>
  <dimension ref="A1:B8"/>
  <sheetViews>
    <sheetView workbookViewId="0">
      <selection activeCell="N25" sqref="N25"/>
    </sheetView>
  </sheetViews>
  <sheetFormatPr baseColWidth="10" defaultRowHeight="14.4" x14ac:dyDescent="0.3"/>
  <sheetData>
    <row r="1" spans="1:2" ht="15" thickBot="1" x14ac:dyDescent="0.35">
      <c r="A1" s="65" t="s">
        <v>12</v>
      </c>
      <c r="B1" s="66" t="s">
        <v>56</v>
      </c>
    </row>
    <row r="2" spans="1:2" x14ac:dyDescent="0.3">
      <c r="A2" s="63" t="s">
        <v>0</v>
      </c>
      <c r="B2" s="64" t="e">
        <f ca="1">_xll.TR("JPYSWOIS=","CF_LAST")</f>
        <v>#NAME?</v>
      </c>
    </row>
    <row r="3" spans="1:2" x14ac:dyDescent="0.3">
      <c r="A3" s="61" t="s">
        <v>55</v>
      </c>
      <c r="B3" s="34" t="e">
        <f ca="1">_xll.TR("JPY2WOIS=","CF_LAST")</f>
        <v>#NAME?</v>
      </c>
    </row>
    <row r="4" spans="1:2" x14ac:dyDescent="0.3">
      <c r="A4" s="61" t="s">
        <v>1</v>
      </c>
      <c r="B4" s="34" t="e">
        <f ca="1">_xll.TR("JPY1MOIS=","CF_LAST")</f>
        <v>#NAME?</v>
      </c>
    </row>
    <row r="5" spans="1:2" x14ac:dyDescent="0.3">
      <c r="A5" s="61" t="s">
        <v>2</v>
      </c>
      <c r="B5" s="34" t="e">
        <f ca="1">_xll.TR("JPY2MOIS=","CF_LAST")</f>
        <v>#NAME?</v>
      </c>
    </row>
    <row r="6" spans="1:2" x14ac:dyDescent="0.3">
      <c r="A6" s="61" t="s">
        <v>3</v>
      </c>
      <c r="B6" s="34" t="e">
        <f ca="1">_xll.TR("JPY3MOIS=","CF_LAST")</f>
        <v>#NAME?</v>
      </c>
    </row>
    <row r="7" spans="1:2" x14ac:dyDescent="0.3">
      <c r="A7" s="61" t="s">
        <v>4</v>
      </c>
      <c r="B7" s="34" t="e">
        <f ca="1">_xll.TR("JPY6MOIS=","CF_LAST")</f>
        <v>#NAME?</v>
      </c>
    </row>
    <row r="8" spans="1:2" ht="15" thickBot="1" x14ac:dyDescent="0.35">
      <c r="A8" s="62" t="s">
        <v>5</v>
      </c>
      <c r="B8" s="36" t="e">
        <f ca="1">_xll.TR("JPY1YOIS=","CF_LAST")</f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A717F-D083-41A7-A9DF-EE285107742C}">
  <sheetPr codeName="Feuil26"/>
  <dimension ref="A1:D30"/>
  <sheetViews>
    <sheetView workbookViewId="0">
      <selection activeCell="A5" sqref="A5"/>
    </sheetView>
  </sheetViews>
  <sheetFormatPr baseColWidth="10" defaultRowHeight="14.4" x14ac:dyDescent="0.3"/>
  <cols>
    <col min="1" max="1" width="43" customWidth="1"/>
    <col min="2" max="3" width="11.44140625" style="29"/>
    <col min="4" max="4" width="15" customWidth="1"/>
    <col min="5" max="5" width="14.88671875" customWidth="1"/>
    <col min="6" max="6" width="15.33203125" customWidth="1"/>
  </cols>
  <sheetData>
    <row r="1" spans="1:4" x14ac:dyDescent="0.3">
      <c r="A1" s="1" t="s">
        <v>12</v>
      </c>
      <c r="B1" s="28" t="s">
        <v>7</v>
      </c>
      <c r="C1" s="28" t="s">
        <v>8</v>
      </c>
    </row>
    <row r="2" spans="1:4" x14ac:dyDescent="0.3">
      <c r="A2" s="2" t="e">
        <f ca="1">_xll.SixTelekurs.FinXL.GetQuote("946687,CH,148,88","Name;Bid;Ask")</f>
        <v>#NAME?</v>
      </c>
      <c r="B2" s="29">
        <v>1.4864999999999999</v>
      </c>
      <c r="C2" s="29">
        <v>1.4884999999999999</v>
      </c>
    </row>
    <row r="3" spans="1:4" x14ac:dyDescent="0.3">
      <c r="A3" s="2" t="e">
        <f ca="1">_xll.SixTelekurs.FinXL.GetQuote("946690,CH,148,184","Name;Bid;Ask")</f>
        <v>#NAME?</v>
      </c>
      <c r="B3" s="29">
        <v>1.3057000000000001</v>
      </c>
      <c r="C3" s="29">
        <v>1.3097000000000001</v>
      </c>
    </row>
    <row r="4" spans="1:4" x14ac:dyDescent="0.3">
      <c r="A4" s="2" t="e">
        <f ca="1">_xll.SixTelekurs.FinXL.GetQuote("897789,CH,148,1","Name;Bid;Ask")</f>
        <v>#NAME?</v>
      </c>
      <c r="B4" s="29">
        <v>0.9637</v>
      </c>
      <c r="C4" s="29">
        <v>0.96419999999999995</v>
      </c>
    </row>
    <row r="5" spans="1:4" x14ac:dyDescent="0.3">
      <c r="A5" s="2" t="e">
        <f ca="1">_xll.SixTelekurs.FinXL.GetQuote("946836,CH,148,272","Name;Bid;Ask")</f>
        <v>#NAME?</v>
      </c>
    </row>
    <row r="6" spans="1:4" x14ac:dyDescent="0.3">
      <c r="A6" s="2" t="e">
        <f ca="1">_xll.SixTelekurs.FinXL.GetQuote("946684,CH,148,402","Name;Bid;Ask")</f>
        <v>#NAME?</v>
      </c>
      <c r="B6" s="29">
        <v>0.87499000000000005</v>
      </c>
      <c r="C6" s="29">
        <v>0.87580000000000002</v>
      </c>
    </row>
    <row r="7" spans="1:4" x14ac:dyDescent="0.3">
      <c r="A7" s="2" t="e">
        <f ca="1">_xll.SixTelekurs.FinXL.GetQuote("946686,CH,148,534","Name;Bid;Ask")</f>
        <v>#NAME?</v>
      </c>
      <c r="B7" s="29">
        <v>144.708</v>
      </c>
      <c r="C7" s="29">
        <v>144.74600000000001</v>
      </c>
    </row>
    <row r="8" spans="1:4" x14ac:dyDescent="0.3">
      <c r="A8" s="2" t="e">
        <f ca="1">_xll.SixTelekurs.FinXL.GetQuote("946867,CH,148,662","Name;Bid;Ask")</f>
        <v>#NAME?</v>
      </c>
      <c r="B8" s="29">
        <v>9.9608000000000008</v>
      </c>
      <c r="C8" s="29">
        <v>9.9672000000000001</v>
      </c>
      <c r="D8" s="27"/>
    </row>
    <row r="9" spans="1:4" x14ac:dyDescent="0.3">
      <c r="A9" s="2" t="e">
        <f ca="1">_xll.SixTelekurs.FinXL.GetQuote("946689,CH,148,686","Name;Bid;Ask")</f>
        <v>#NAME?</v>
      </c>
      <c r="B9" s="29">
        <v>1.6433</v>
      </c>
      <c r="C9" s="29">
        <v>1.6463000000000001</v>
      </c>
      <c r="D9" s="27"/>
    </row>
    <row r="10" spans="1:4" x14ac:dyDescent="0.3">
      <c r="A10" s="2" t="e">
        <f ca="1">_xll.SixTelekurs.FinXL.GetQuote("946692,CH,148,864","Name;Bid;Ask")</f>
        <v>#NAME?</v>
      </c>
      <c r="B10" s="29">
        <v>10.6615</v>
      </c>
      <c r="C10" s="29">
        <v>10.6746</v>
      </c>
      <c r="D10" s="27"/>
    </row>
    <row r="11" spans="1:4" x14ac:dyDescent="0.3">
      <c r="A11" s="2" t="e">
        <f ca="1">_xll.SixTelekurs.FinXL.GetQuote("946870,CH,148,846","Name;Bid;Ask")</f>
        <v>#NAME?</v>
      </c>
      <c r="B11" s="29">
        <v>1.4044000000000001</v>
      </c>
      <c r="C11" s="29">
        <v>1.4064000000000001</v>
      </c>
      <c r="D11" s="27"/>
    </row>
    <row r="12" spans="1:4" x14ac:dyDescent="0.3">
      <c r="A12" s="2" t="e">
        <f ca="1">_xll.SixTelekurs.FinXL.GetQuote("946681,CH,148,333","Name;Bid;Ask")</f>
        <v>#NAME?</v>
      </c>
      <c r="B12" s="29">
        <v>1.0039</v>
      </c>
      <c r="C12" s="29">
        <v>1.0043</v>
      </c>
      <c r="D12" s="27"/>
    </row>
    <row r="13" spans="1:4" x14ac:dyDescent="0.3">
      <c r="A13" s="2" t="e">
        <f ca="1">_xll.SixTelekurs.FinXL.GetQuote("946884,CH,148,20","Name;Bid;Ask")</f>
        <v>#NAME?</v>
      </c>
      <c r="B13" s="29">
        <v>17.474460000000001</v>
      </c>
      <c r="C13" s="29">
        <v>17.58446</v>
      </c>
      <c r="D13" s="27"/>
    </row>
    <row r="14" spans="1:4" x14ac:dyDescent="0.3">
      <c r="A14" s="2" t="e">
        <f ca="1">_xll.SixTelekurs.FinXL.GetQuote("275027,CH,148,184","Name;Bid;Ask")</f>
        <v>#NAME?</v>
      </c>
      <c r="B14" s="29">
        <v>1.30169</v>
      </c>
      <c r="C14" s="29">
        <v>1.3023</v>
      </c>
      <c r="D14" s="27"/>
    </row>
    <row r="15" spans="1:4" x14ac:dyDescent="0.3">
      <c r="A15" s="2" t="e">
        <f ca="1">_xll.SixTelekurs.FinXL.GetQuote("275000,CH,148,1","Name;Bid;Ask")</f>
        <v>#NAME?</v>
      </c>
      <c r="B15" s="29">
        <v>0.95950999999999997</v>
      </c>
      <c r="C15" s="29">
        <v>0.96031999999999995</v>
      </c>
      <c r="D15" s="27"/>
    </row>
    <row r="16" spans="1:4" x14ac:dyDescent="0.3">
      <c r="A16" s="2" t="e">
        <f ca="1">_xll.SixTelekurs.FinXL.GetQuote("275023,CH,148,534","Name;Bid;Ask")</f>
        <v>#NAME?</v>
      </c>
      <c r="B16" s="29">
        <v>142.459</v>
      </c>
      <c r="C16" s="29">
        <v>142.56</v>
      </c>
      <c r="D16" s="27"/>
    </row>
    <row r="17" spans="1:4" x14ac:dyDescent="0.3">
      <c r="A17" s="2" t="e">
        <f ca="1">_xll.SixTelekurs.FinXL.GetQuote("275030,CH,148,662","Name;Bid;Ask")</f>
        <v>#NAME?</v>
      </c>
      <c r="B17" s="29">
        <v>9.8687000000000005</v>
      </c>
      <c r="C17" s="29">
        <v>9.8736999999999995</v>
      </c>
      <c r="D17" s="27"/>
    </row>
    <row r="18" spans="1:4" x14ac:dyDescent="0.3">
      <c r="A18" s="2" t="e">
        <f ca="1">_xll.SixTelekurs.FinXL.GetQuote("275029,CH,148,864","Name;Bid;Ask")</f>
        <v>#NAME?</v>
      </c>
      <c r="B18" s="29">
        <v>10.6249</v>
      </c>
      <c r="C18" s="29">
        <v>10.6326</v>
      </c>
      <c r="D18" s="27"/>
    </row>
    <row r="19" spans="1:4" x14ac:dyDescent="0.3">
      <c r="A19" s="2" t="e">
        <f ca="1">_xll.SixTelekurs.FinXL.GetQuote("275127,CH,148,20","Name;Bid;Ask")</f>
        <v>#NAME?</v>
      </c>
      <c r="B19" s="29">
        <v>17.296900000000001</v>
      </c>
      <c r="C19" s="29">
        <v>17.323</v>
      </c>
      <c r="D19" s="27"/>
    </row>
    <row r="30" spans="1:4" x14ac:dyDescent="0.3">
      <c r="D30" t="s">
        <v>21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B13"/>
  <sheetViews>
    <sheetView workbookViewId="0">
      <selection activeCell="F19" sqref="F19"/>
    </sheetView>
  </sheetViews>
  <sheetFormatPr baseColWidth="10" defaultRowHeight="14.4" x14ac:dyDescent="0.3"/>
  <cols>
    <col min="1" max="1" width="21.6640625" customWidth="1"/>
    <col min="2" max="2" width="17.5546875" customWidth="1"/>
  </cols>
  <sheetData>
    <row r="1" spans="1:2" ht="15" thickBot="1" x14ac:dyDescent="0.35">
      <c r="A1" s="3" t="s">
        <v>12</v>
      </c>
      <c r="B1" s="4" t="s">
        <v>17</v>
      </c>
    </row>
    <row r="2" spans="1:2" x14ac:dyDescent="0.3">
      <c r="A2" s="23" t="e">
        <f ca="1">_xll.SixTelekurs.FinXL.GetQuote("48673152,CH,458,814","Name;P-Val")</f>
        <v>#NAME?</v>
      </c>
      <c r="B2" s="10">
        <v>-8.5999999999999993E-2</v>
      </c>
    </row>
    <row r="3" spans="1:2" x14ac:dyDescent="0.3">
      <c r="A3" s="23" t="e">
        <f ca="1">_xll.SixTelekurs.FinXL.GetQuote("113641910,CH,458,814","Name;P-Val")</f>
        <v>#NAME?</v>
      </c>
      <c r="B3" s="10">
        <v>-8.3000000000000004E-2</v>
      </c>
    </row>
    <row r="4" spans="1:2" x14ac:dyDescent="0.3">
      <c r="A4" s="23" t="e">
        <f ca="1">_xll.SixTelekurs.FinXL.GetQuote("113641955,CH,458,814","Name;P-Val")</f>
        <v>#NAME?</v>
      </c>
      <c r="B4" s="10">
        <v>-8.4000000000000005E-2</v>
      </c>
    </row>
    <row r="5" spans="1:2" x14ac:dyDescent="0.3">
      <c r="A5" s="23" t="e">
        <f ca="1">_xll.SixTelekurs.FinXL.GetQuote("113642144,CH,458,814","Name;P-Val")</f>
        <v>#NAME?</v>
      </c>
      <c r="B5" s="10">
        <v>-0.34895999999999999</v>
      </c>
    </row>
    <row r="6" spans="1:2" x14ac:dyDescent="0.3">
      <c r="A6" s="23" t="e">
        <f ca="1">_xll.SixTelekurs.FinXL.GetQuote("113642147,CH,458,814","Name;P-Val")</f>
        <v>#NAME?</v>
      </c>
      <c r="B6" s="10">
        <v>-0.46555999999999997</v>
      </c>
    </row>
    <row r="7" spans="1:2" ht="15" thickBot="1" x14ac:dyDescent="0.35">
      <c r="A7" s="24" t="e">
        <f ca="1">_xll.SixTelekurs.FinXL.GetQuote("113642150,CH,458,814","Name;P-Val")</f>
        <v>#NAME?</v>
      </c>
      <c r="B7" s="12">
        <v>-0.51859999999999995</v>
      </c>
    </row>
    <row r="13" spans="1:2" x14ac:dyDescent="0.3">
      <c r="A13" s="27"/>
    </row>
  </sheetData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A141-8F87-42B3-9E3F-073E02B06556}">
  <sheetPr codeName="Feuil20"/>
  <dimension ref="A1:B5"/>
  <sheetViews>
    <sheetView workbookViewId="0">
      <selection activeCell="A5" sqref="A5"/>
    </sheetView>
  </sheetViews>
  <sheetFormatPr baseColWidth="10" defaultRowHeight="14.4" x14ac:dyDescent="0.3"/>
  <cols>
    <col min="1" max="1" width="23.6640625" customWidth="1"/>
    <col min="3" max="3" width="24.33203125" customWidth="1"/>
  </cols>
  <sheetData>
    <row r="1" spans="1:2" x14ac:dyDescent="0.3">
      <c r="A1" s="13" t="s">
        <v>12</v>
      </c>
      <c r="B1" s="14" t="s">
        <v>16</v>
      </c>
    </row>
    <row r="2" spans="1:2" x14ac:dyDescent="0.3">
      <c r="A2" s="9" t="e">
        <f ca="1">_xll.SixTelekurs.FinXL.GetQuote("11285971,CH,3632,402","Name;P-Val")</f>
        <v>#NAME?</v>
      </c>
      <c r="B2" s="10">
        <v>1.6902999999999999</v>
      </c>
    </row>
    <row r="3" spans="1:2" x14ac:dyDescent="0.3">
      <c r="A3" s="9" t="e">
        <f ca="1">_xll.SixTelekurs.FinXL.GetQuote("115057413,CH,428,402","Name;P-Val")</f>
        <v>#NAME?</v>
      </c>
      <c r="B3" s="10">
        <v>2.238</v>
      </c>
    </row>
    <row r="4" spans="1:2" x14ac:dyDescent="0.3">
      <c r="A4" s="9" t="e">
        <f ca="1">_xll.SixTelekurs.FinXL.GetQuote("115057483,CH,428,402","Name;P-Val")</f>
        <v>#NAME?</v>
      </c>
      <c r="B4" s="10">
        <v>2.6741999999999999</v>
      </c>
    </row>
    <row r="5" spans="1:2" ht="15" thickBot="1" x14ac:dyDescent="0.35">
      <c r="A5" s="11" t="e">
        <f ca="1">_xll.SixTelekurs.FinXL.GetQuote("115057484,CH,428,402","Name;P-Val")</f>
        <v>#NAME?</v>
      </c>
      <c r="B5" s="12">
        <v>3.3683999999999998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762F-5565-4A92-BA48-DD3354BEB4D3}">
  <sheetPr codeName="Feuil21"/>
  <dimension ref="A1:B6"/>
  <sheetViews>
    <sheetView workbookViewId="0">
      <selection activeCell="A4" sqref="A4"/>
    </sheetView>
  </sheetViews>
  <sheetFormatPr baseColWidth="10" defaultRowHeight="14.4" x14ac:dyDescent="0.3"/>
  <cols>
    <col min="1" max="1" width="18.88671875" customWidth="1"/>
  </cols>
  <sheetData>
    <row r="1" spans="1:2" x14ac:dyDescent="0.3">
      <c r="A1" s="13" t="s">
        <v>12</v>
      </c>
      <c r="B1" s="14" t="s">
        <v>15</v>
      </c>
    </row>
    <row r="2" spans="1:2" x14ac:dyDescent="0.3">
      <c r="A2" s="15" t="e">
        <f ca="1">_xll.SixTelekurs.FinXL.GetQuote("2288993,CH,1318,662","Name;P-Val")</f>
        <v>#NAME?</v>
      </c>
      <c r="B2" s="5">
        <v>1.85</v>
      </c>
    </row>
    <row r="3" spans="1:2" x14ac:dyDescent="0.3">
      <c r="A3" s="15" t="e">
        <f ca="1">_xll.SixTelekurs.FinXL.GetQuote("793998,CH,1318,662","Name;P-Val")</f>
        <v>#NAME?</v>
      </c>
      <c r="B3" s="5">
        <v>2.2799999999999998</v>
      </c>
    </row>
    <row r="4" spans="1:2" x14ac:dyDescent="0.3">
      <c r="A4" s="15" t="e">
        <f ca="1">_xll.SixTelekurs.FinXL.GetQuote("626222,CH,1318,662","Name;P-Val")</f>
        <v>#NAME?</v>
      </c>
      <c r="B4" s="5">
        <v>2.5499999999999998</v>
      </c>
    </row>
    <row r="5" spans="1:2" x14ac:dyDescent="0.3">
      <c r="A5" s="15" t="e">
        <f ca="1">_xll.SixTelekurs.FinXL.GetQuote("513751,CH,1318,662","Name;P-Val")</f>
        <v>#NAME?</v>
      </c>
      <c r="B5" s="5">
        <v>2.79</v>
      </c>
    </row>
    <row r="6" spans="1:2" ht="15" thickBot="1" x14ac:dyDescent="0.35">
      <c r="A6" s="16" t="e">
        <f ca="1">_xll.SixTelekurs.FinXL.GetQuote("159549,CH,1318,662","Name;P-Val")</f>
        <v>#NAME?</v>
      </c>
      <c r="B6" s="6">
        <v>3.42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H21"/>
  <sheetViews>
    <sheetView workbookViewId="0">
      <selection activeCell="G20" sqref="G20"/>
    </sheetView>
  </sheetViews>
  <sheetFormatPr baseColWidth="10" defaultRowHeight="14.4" x14ac:dyDescent="0.3"/>
  <cols>
    <col min="1" max="1" width="21.6640625" customWidth="1"/>
  </cols>
  <sheetData>
    <row r="1" spans="1:2" x14ac:dyDescent="0.3">
      <c r="A1" s="13" t="s">
        <v>12</v>
      </c>
      <c r="B1" s="14" t="s">
        <v>13</v>
      </c>
    </row>
    <row r="2" spans="1:2" x14ac:dyDescent="0.3">
      <c r="A2" s="9" t="e">
        <f ca="1">_xll.SixTelekurs.FinXL.GetQuote("25159898,CH,3707,184","Name;P-Val")</f>
        <v>#NAME?</v>
      </c>
      <c r="B2" s="10">
        <v>3.25</v>
      </c>
    </row>
    <row r="3" spans="1:2" x14ac:dyDescent="0.3">
      <c r="A3" s="9" t="e">
        <f ca="1">_xll.SixTelekurs.FinXL.GetQuote("2327126,CH,3790,184","Name;P-Val")</f>
        <v>#NAME?</v>
      </c>
      <c r="B3" s="10">
        <v>3.6625000000000001</v>
      </c>
    </row>
    <row r="4" spans="1:2" x14ac:dyDescent="0.3">
      <c r="A4" s="9" t="e">
        <f ca="1">_xll.SixTelekurs.FinXL.GetQuote("2327128,CH,3790,184","Name;P-Val")</f>
        <v>#NAME?</v>
      </c>
      <c r="B4" s="10">
        <v>3.7825000000000002</v>
      </c>
    </row>
    <row r="5" spans="1:2" ht="15" thickBot="1" x14ac:dyDescent="0.35">
      <c r="A5" s="11" t="e">
        <f ca="1">_xll.SixTelekurs.FinXL.GetQuote("2298991,CH,3790,184","Name;P-Val")</f>
        <v>#NAME?</v>
      </c>
      <c r="B5" s="12">
        <v>4.01</v>
      </c>
    </row>
    <row r="20" spans="7:8" x14ac:dyDescent="0.3">
      <c r="G20" t="e">
        <f ca="1">_xll.TR("CAD1MOIS=","CF_LAST","UPDFRQ=STREAM CH=Fd RH=IN")</f>
        <v>#NAME?</v>
      </c>
      <c r="H20" t="s">
        <v>39</v>
      </c>
    </row>
    <row r="21" spans="7:8" x14ac:dyDescent="0.3">
      <c r="G21" s="31" t="s">
        <v>53</v>
      </c>
      <c r="H21">
        <v>3.61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FDBB-1F97-4AFD-A35C-3F9444682C2A}">
  <sheetPr codeName="Feuil22"/>
  <dimension ref="A1:B9"/>
  <sheetViews>
    <sheetView workbookViewId="0">
      <selection activeCell="E19" sqref="E19"/>
    </sheetView>
  </sheetViews>
  <sheetFormatPr baseColWidth="10" defaultRowHeight="14.4" x14ac:dyDescent="0.3"/>
  <cols>
    <col min="1" max="1" width="22.33203125" customWidth="1"/>
    <col min="2" max="2" width="13.5546875" customWidth="1"/>
  </cols>
  <sheetData>
    <row r="1" spans="1:2" x14ac:dyDescent="0.3">
      <c r="A1" s="13" t="s">
        <v>12</v>
      </c>
      <c r="B1" s="14" t="s">
        <v>14</v>
      </c>
    </row>
    <row r="2" spans="1:2" x14ac:dyDescent="0.3">
      <c r="A2" s="15" t="e">
        <f ca="1">_xll.SixTelekurs.FinXL.GetQuote("4961368,CH,1526,1","Name;P-Val")</f>
        <v>#NAME?</v>
      </c>
      <c r="B2" s="5">
        <v>-0.21226999999999999</v>
      </c>
    </row>
    <row r="3" spans="1:2" x14ac:dyDescent="0.3">
      <c r="A3" s="15" t="e">
        <f ca="1">_xll.SixTelekurs.FinXL.GetQuote("59914734,CH,1526,1","Name;P-Val")</f>
        <v>#NAME?</v>
      </c>
      <c r="B3" s="5">
        <v>-0.2102</v>
      </c>
    </row>
    <row r="4" spans="1:2" x14ac:dyDescent="0.3">
      <c r="A4" s="15" t="e">
        <f ca="1">_xll.SixTelekurs.FinXL.GetQuote("47712388,CH,1526,1","Name;P-Val")</f>
        <v>#NAME?</v>
      </c>
      <c r="B4" s="5">
        <v>-0.2094</v>
      </c>
    </row>
    <row r="5" spans="1:2" x14ac:dyDescent="0.3">
      <c r="A5" s="15" t="e">
        <f ca="1">_xll.SixTelekurs.FinXL.GetQuote("47712389,CH,1526,1","Name;P-Val")</f>
        <v>#NAME?</v>
      </c>
      <c r="B5" s="5">
        <v>-0.20780000000000001</v>
      </c>
    </row>
    <row r="6" spans="1:2" x14ac:dyDescent="0.3">
      <c r="A6" s="15" t="e">
        <f ca="1">_xll.SixTelekurs.FinXL.GetQuote("47712390,CH,1526,1","Name;P-Val")</f>
        <v>#NAME?</v>
      </c>
      <c r="B6" s="5">
        <v>-0.248</v>
      </c>
    </row>
    <row r="7" spans="1:2" x14ac:dyDescent="0.3">
      <c r="A7" s="15" t="e">
        <f ca="1">_xll.SixTelekurs.FinXL.GetQuote("47712391,CH,1526,1","Name;P-Val")</f>
        <v>#NAME?</v>
      </c>
      <c r="B7" s="5">
        <v>-0.47610000000000002</v>
      </c>
    </row>
    <row r="8" spans="1:2" x14ac:dyDescent="0.3">
      <c r="A8" s="15" t="e">
        <f ca="1">_xll.SixTelekurs.FinXL.GetQuote("47712392,CH,1526,1","Name;P-Val")</f>
        <v>#NAME?</v>
      </c>
      <c r="B8" s="5">
        <v>-0.55200000000000005</v>
      </c>
    </row>
    <row r="9" spans="1:2" ht="15" thickBot="1" x14ac:dyDescent="0.35">
      <c r="A9" s="16" t="e">
        <f ca="1">_xll.SixTelekurs.FinXL.GetQuote("47712393,CH,1526,1","Name;P-Val")</f>
        <v>#NAME?</v>
      </c>
      <c r="B9" s="6">
        <v>-0.59050000000000002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B5"/>
  <sheetViews>
    <sheetView workbookViewId="0">
      <selection activeCell="G13" sqref="G13"/>
    </sheetView>
  </sheetViews>
  <sheetFormatPr baseColWidth="10" defaultRowHeight="14.4" x14ac:dyDescent="0.3"/>
  <cols>
    <col min="1" max="1" width="18.109375" customWidth="1"/>
  </cols>
  <sheetData>
    <row r="1" spans="1:2" x14ac:dyDescent="0.3">
      <c r="A1" s="7" t="s">
        <v>12</v>
      </c>
      <c r="B1" s="8" t="s">
        <v>18</v>
      </c>
    </row>
    <row r="2" spans="1:2" x14ac:dyDescent="0.3">
      <c r="A2" s="9" t="e">
        <f ca="1">_xll.SixTelekurs.FinXL.GetQuote("48148511,CH,3543,333","Name;P-Val")</f>
        <v>#NAME?</v>
      </c>
      <c r="B2" s="10">
        <v>2.2799999999999998</v>
      </c>
    </row>
    <row r="3" spans="1:2" x14ac:dyDescent="0.3">
      <c r="A3" s="9" t="e">
        <f ca="1">_xll.SixTelekurs.FinXL.GetQuote("55224915,CH,3543,333","Name;P-Val")</f>
        <v>#NAME?</v>
      </c>
      <c r="B3" s="10">
        <v>2.2853599999999998</v>
      </c>
    </row>
    <row r="4" spans="1:2" x14ac:dyDescent="0.3">
      <c r="A4" s="9" t="e">
        <f ca="1">_xll.SixTelekurs.FinXL.GetQuote("55224940,CH,3543,333","Name;P-Val")</f>
        <v>#NAME?</v>
      </c>
      <c r="B4" s="10">
        <v>1.82148</v>
      </c>
    </row>
    <row r="5" spans="1:2" ht="15" thickBot="1" x14ac:dyDescent="0.35">
      <c r="A5" s="11" t="e">
        <f ca="1">_xll.SixTelekurs.FinXL.GetQuote("55224985,CH,3543,333","Name;P-Val")</f>
        <v>#NAME?</v>
      </c>
      <c r="B5" s="12">
        <v>1.14795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79C3B-26B1-4A9F-A38C-BBFA6BE44CCB}">
  <sheetPr codeName="Feuil7"/>
  <dimension ref="A1:B7"/>
  <sheetViews>
    <sheetView workbookViewId="0">
      <selection activeCell="E11" sqref="E11"/>
    </sheetView>
  </sheetViews>
  <sheetFormatPr baseColWidth="10" defaultRowHeight="14.4" x14ac:dyDescent="0.3"/>
  <cols>
    <col min="1" max="1" width="18.6640625" customWidth="1"/>
    <col min="3" max="3" width="24.88671875" customWidth="1"/>
    <col min="4" max="4" width="27.6640625" customWidth="1"/>
    <col min="5" max="5" width="20.33203125" customWidth="1"/>
  </cols>
  <sheetData>
    <row r="1" spans="1:2" x14ac:dyDescent="0.3">
      <c r="A1" s="7" t="s">
        <v>12</v>
      </c>
      <c r="B1" s="8" t="s">
        <v>19</v>
      </c>
    </row>
    <row r="2" spans="1:2" x14ac:dyDescent="0.3">
      <c r="A2" s="9" t="e">
        <f ca="1">_xll.SixTelekurs.FinXL.GetQuote("20691492,CH,8223,686","Name;Lval")</f>
        <v>#NAME?</v>
      </c>
      <c r="B2" s="10">
        <v>3.165</v>
      </c>
    </row>
    <row r="3" spans="1:2" x14ac:dyDescent="0.3">
      <c r="A3" s="9" t="e">
        <f ca="1">_xll.SixTelekurs.FinXL.GetQuote("20691509,CH,8223,686","Name;Lval")</f>
        <v>#NAME?</v>
      </c>
      <c r="B3" s="10">
        <v>3.3475000000000001</v>
      </c>
    </row>
    <row r="4" spans="1:2" x14ac:dyDescent="0.3">
      <c r="A4" s="9" t="e">
        <f ca="1">_xll.SixTelekurs.FinXL.GetQuote("20691525,CH,8223,686","Name;Lval")</f>
        <v>#NAME?</v>
      </c>
      <c r="B4" s="10">
        <v>3.53</v>
      </c>
    </row>
    <row r="5" spans="1:2" x14ac:dyDescent="0.3">
      <c r="A5" s="9" t="e">
        <f ca="1">_xll.SixTelekurs.FinXL.GetQuote("20691527,CH,8223,686","Name;Lval")</f>
        <v>#NAME?</v>
      </c>
      <c r="B5" s="10">
        <v>3.64</v>
      </c>
    </row>
    <row r="6" spans="1:2" x14ac:dyDescent="0.3">
      <c r="A6" s="9" t="e">
        <f ca="1">_xll.SixTelekurs.FinXL.GetQuote("20691529,CH,8223,686","Name;Lval")</f>
        <v>#NAME?</v>
      </c>
      <c r="B6" s="10">
        <v>3.75</v>
      </c>
    </row>
    <row r="7" spans="1:2" ht="15" thickBot="1" x14ac:dyDescent="0.35">
      <c r="A7" s="11" t="e">
        <f ca="1">_xll.SixTelekurs.FinXL.GetQuote("20691532,CH,8223,686","Name;Lval")</f>
        <v>#NAME?</v>
      </c>
      <c r="B7" s="12">
        <v>3.86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532C00-44B4-4B0D-92B9-CD42FFFC13AE}">
  <ds:schemaRefs>
    <ds:schemaRef ds:uri="urn:schemas-microsoft-com.SixFinancial.FinX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SpotR</vt:lpstr>
      <vt:lpstr>EURUSD</vt:lpstr>
      <vt:lpstr>EURJPY</vt:lpstr>
      <vt:lpstr>EURCAD</vt:lpstr>
      <vt:lpstr>EURGBP</vt:lpstr>
      <vt:lpstr>EURCHF</vt:lpstr>
      <vt:lpstr>USDGBP</vt:lpstr>
      <vt:lpstr>USDCHF</vt:lpstr>
      <vt:lpstr>USDCAD</vt:lpstr>
      <vt:lpstr>USDJPY</vt:lpstr>
      <vt:lpstr>USDR</vt:lpstr>
      <vt:lpstr>EURIBOR EURR</vt:lpstr>
      <vt:lpstr>CADR</vt:lpstr>
      <vt:lpstr>GBPR</vt:lpstr>
      <vt:lpstr>CHFRF</vt:lpstr>
      <vt:lpstr>JPYR</vt:lpstr>
      <vt:lpstr>Spot</vt:lpstr>
      <vt:lpstr>EURIBOR EUR</vt:lpstr>
      <vt:lpstr>GBP</vt:lpstr>
      <vt:lpstr>NOK</vt:lpstr>
      <vt:lpstr>CADRATE</vt:lpstr>
      <vt:lpstr>CHF</vt:lpstr>
      <vt:lpstr>USDRATE</vt:lpstr>
      <vt:lpstr>NZDRATE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My PC</cp:lastModifiedBy>
  <dcterms:created xsi:type="dcterms:W3CDTF">2022-07-07T14:35:09Z</dcterms:created>
  <dcterms:modified xsi:type="dcterms:W3CDTF">2023-03-13T16:51:20Z</dcterms:modified>
</cp:coreProperties>
</file>